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E:\D drives data\My work(Data Analysis)\Data Analysis Projects\Excel Projects\9-Production dashboard\"/>
    </mc:Choice>
  </mc:AlternateContent>
  <xr:revisionPtr revIDLastSave="0" documentId="13_ncr:1_{58F8FB40-DB87-47BB-B25A-03C476D35E5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ummary " sheetId="4" r:id="rId1"/>
    <sheet name="Down Time" sheetId="5" r:id="rId2"/>
    <sheet name="Rejection Analysis" sheetId="6" r:id="rId3"/>
    <sheet name="July" sheetId="1" r:id="rId4"/>
    <sheet name="August" sheetId="2" r:id="rId5"/>
    <sheet name="September" sheetId="3" r:id="rId6"/>
  </sheets>
  <definedNames>
    <definedName name="_xlnm._FilterDatabase" localSheetId="4" hidden="1">August!$A$4:$R$469</definedName>
    <definedName name="_xlnm._FilterDatabase" localSheetId="3" hidden="1">July!$A$4:$R$469</definedName>
    <definedName name="_xlnm._FilterDatabase" localSheetId="5" hidden="1">September!$A$4:$R$454</definedName>
    <definedName name="_xlchart.v1.0" hidden="1">'Down Time'!$C$5:$C$14</definedName>
    <definedName name="_xlchart.v1.1" hidden="1">'Down Time'!$P$5:$P$14</definedName>
    <definedName name="_xlchart.v1.2" hidden="1">'Rejection Analysis'!$C$5:$C$16</definedName>
    <definedName name="_xlchart.v1.3" hidden="1">'Rejection Analysis'!$P$5:$P$16</definedName>
    <definedName name="_xlchart.v1.4" hidden="1">'Rejection Analysis'!$C$5:$C$16</definedName>
    <definedName name="_xlchart.v1.5" hidden="1">'Rejection Analysis'!$P$5:$P$16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4" l="1"/>
  <c r="I12" i="4"/>
  <c r="I11" i="4"/>
  <c r="J3" i="3"/>
  <c r="H13" i="4" s="1"/>
  <c r="J3" i="2"/>
  <c r="H12" i="4" s="1"/>
  <c r="H11" i="4"/>
  <c r="G13" i="4"/>
  <c r="G12" i="4"/>
  <c r="G11" i="4"/>
  <c r="F13" i="4"/>
  <c r="F12" i="4"/>
  <c r="F11" i="4"/>
  <c r="E13" i="4"/>
  <c r="G3" i="1"/>
  <c r="E11" i="4" s="1"/>
  <c r="E12" i="4"/>
  <c r="D13" i="4"/>
  <c r="D12" i="4"/>
  <c r="D11" i="4"/>
  <c r="N3" i="3"/>
  <c r="N3" i="2"/>
  <c r="N3" i="1"/>
  <c r="H3" i="1"/>
  <c r="R3" i="3"/>
  <c r="O17" i="6"/>
  <c r="P6" i="6"/>
  <c r="P7" i="6"/>
  <c r="P8" i="6"/>
  <c r="P9" i="6"/>
  <c r="P10" i="6"/>
  <c r="P11" i="6"/>
  <c r="P12" i="6"/>
  <c r="P13" i="6"/>
  <c r="P14" i="6"/>
  <c r="P15" i="6"/>
  <c r="P16" i="6"/>
  <c r="P5" i="6"/>
  <c r="N17" i="6"/>
  <c r="M17" i="6"/>
  <c r="L17" i="6"/>
  <c r="K17" i="6"/>
  <c r="J17" i="6"/>
  <c r="I17" i="6"/>
  <c r="H17" i="6"/>
  <c r="G17" i="6"/>
  <c r="F17" i="6"/>
  <c r="E17" i="6"/>
  <c r="D17" i="6"/>
  <c r="O15" i="5"/>
  <c r="N15" i="5"/>
  <c r="M15" i="5"/>
  <c r="L15" i="5"/>
  <c r="K15" i="5"/>
  <c r="J15" i="5"/>
  <c r="I15" i="5"/>
  <c r="H15" i="5"/>
  <c r="G15" i="5"/>
  <c r="F15" i="5"/>
  <c r="E15" i="5"/>
  <c r="D15" i="5"/>
  <c r="P14" i="5"/>
  <c r="P13" i="5"/>
  <c r="P12" i="5"/>
  <c r="P11" i="5"/>
  <c r="P10" i="5"/>
  <c r="P9" i="5"/>
  <c r="P8" i="5"/>
  <c r="P7" i="5"/>
  <c r="P6" i="5"/>
  <c r="P5" i="5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5" i="3"/>
  <c r="G3" i="3"/>
  <c r="H3" i="3"/>
  <c r="F3" i="3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52" i="2"/>
  <c r="G3" i="2"/>
  <c r="H3" i="2"/>
  <c r="F3" i="2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5" i="1"/>
  <c r="J3" i="1" s="1"/>
  <c r="I3" i="1"/>
  <c r="F3" i="1"/>
  <c r="Q454" i="3"/>
  <c r="P454" i="3"/>
  <c r="O454" i="3"/>
  <c r="R454" i="3" s="1"/>
  <c r="I454" i="3"/>
  <c r="Q453" i="3"/>
  <c r="P453" i="3"/>
  <c r="O453" i="3"/>
  <c r="R453" i="3" s="1"/>
  <c r="I453" i="3"/>
  <c r="Q452" i="3"/>
  <c r="P452" i="3"/>
  <c r="O452" i="3"/>
  <c r="R452" i="3" s="1"/>
  <c r="I452" i="3"/>
  <c r="Q451" i="3"/>
  <c r="P451" i="3"/>
  <c r="O451" i="3"/>
  <c r="I451" i="3"/>
  <c r="Q450" i="3"/>
  <c r="P450" i="3"/>
  <c r="O450" i="3"/>
  <c r="R450" i="3" s="1"/>
  <c r="I450" i="3"/>
  <c r="Q449" i="3"/>
  <c r="P449" i="3"/>
  <c r="O449" i="3"/>
  <c r="I449" i="3"/>
  <c r="Q448" i="3"/>
  <c r="P448" i="3"/>
  <c r="O448" i="3"/>
  <c r="R448" i="3" s="1"/>
  <c r="I448" i="3"/>
  <c r="Q447" i="3"/>
  <c r="P447" i="3"/>
  <c r="O447" i="3"/>
  <c r="R447" i="3" s="1"/>
  <c r="I447" i="3"/>
  <c r="Q446" i="3"/>
  <c r="P446" i="3"/>
  <c r="O446" i="3"/>
  <c r="R446" i="3" s="1"/>
  <c r="I446" i="3"/>
  <c r="Q445" i="3"/>
  <c r="P445" i="3"/>
  <c r="O445" i="3"/>
  <c r="R445" i="3" s="1"/>
  <c r="I445" i="3"/>
  <c r="Q444" i="3"/>
  <c r="P444" i="3"/>
  <c r="O444" i="3"/>
  <c r="R444" i="3" s="1"/>
  <c r="I444" i="3"/>
  <c r="Q443" i="3"/>
  <c r="P443" i="3"/>
  <c r="O443" i="3"/>
  <c r="I443" i="3"/>
  <c r="Q442" i="3"/>
  <c r="P442" i="3"/>
  <c r="O442" i="3"/>
  <c r="R442" i="3" s="1"/>
  <c r="I442" i="3"/>
  <c r="Q441" i="3"/>
  <c r="P441" i="3"/>
  <c r="O441" i="3"/>
  <c r="R441" i="3" s="1"/>
  <c r="I441" i="3"/>
  <c r="Q440" i="3"/>
  <c r="P440" i="3"/>
  <c r="O440" i="3"/>
  <c r="I440" i="3"/>
  <c r="Q439" i="3"/>
  <c r="P439" i="3"/>
  <c r="O439" i="3"/>
  <c r="R439" i="3" s="1"/>
  <c r="I439" i="3"/>
  <c r="Q438" i="3"/>
  <c r="P438" i="3"/>
  <c r="O438" i="3"/>
  <c r="R438" i="3" s="1"/>
  <c r="I438" i="3"/>
  <c r="Q437" i="3"/>
  <c r="P437" i="3"/>
  <c r="O437" i="3"/>
  <c r="R437" i="3" s="1"/>
  <c r="I437" i="3"/>
  <c r="Q436" i="3"/>
  <c r="P436" i="3"/>
  <c r="O436" i="3"/>
  <c r="R436" i="3" s="1"/>
  <c r="I436" i="3"/>
  <c r="Q435" i="3"/>
  <c r="P435" i="3"/>
  <c r="O435" i="3"/>
  <c r="R435" i="3" s="1"/>
  <c r="I435" i="3"/>
  <c r="Q434" i="3"/>
  <c r="P434" i="3"/>
  <c r="O434" i="3"/>
  <c r="R434" i="3" s="1"/>
  <c r="I434" i="3"/>
  <c r="Q433" i="3"/>
  <c r="P433" i="3"/>
  <c r="O433" i="3"/>
  <c r="R433" i="3" s="1"/>
  <c r="I433" i="3"/>
  <c r="Q432" i="3"/>
  <c r="P432" i="3"/>
  <c r="O432" i="3"/>
  <c r="R432" i="3" s="1"/>
  <c r="I432" i="3"/>
  <c r="Q431" i="3"/>
  <c r="P431" i="3"/>
  <c r="O431" i="3"/>
  <c r="R431" i="3" s="1"/>
  <c r="I431" i="3"/>
  <c r="Q430" i="3"/>
  <c r="P430" i="3"/>
  <c r="O430" i="3"/>
  <c r="R430" i="3" s="1"/>
  <c r="I430" i="3"/>
  <c r="Q429" i="3"/>
  <c r="P429" i="3"/>
  <c r="O429" i="3"/>
  <c r="R429" i="3" s="1"/>
  <c r="I429" i="3"/>
  <c r="Q428" i="3"/>
  <c r="P428" i="3"/>
  <c r="O428" i="3"/>
  <c r="R428" i="3" s="1"/>
  <c r="I428" i="3"/>
  <c r="Q427" i="3"/>
  <c r="P427" i="3"/>
  <c r="O427" i="3"/>
  <c r="R427" i="3" s="1"/>
  <c r="I427" i="3"/>
  <c r="Q426" i="3"/>
  <c r="P426" i="3"/>
  <c r="O426" i="3"/>
  <c r="R426" i="3" s="1"/>
  <c r="I426" i="3"/>
  <c r="Q425" i="3"/>
  <c r="P425" i="3"/>
  <c r="O425" i="3"/>
  <c r="I425" i="3"/>
  <c r="Q424" i="3"/>
  <c r="P424" i="3"/>
  <c r="O424" i="3"/>
  <c r="R424" i="3" s="1"/>
  <c r="I424" i="3"/>
  <c r="Q423" i="3"/>
  <c r="P423" i="3"/>
  <c r="O423" i="3"/>
  <c r="R423" i="3" s="1"/>
  <c r="I423" i="3"/>
  <c r="Q422" i="3"/>
  <c r="P422" i="3"/>
  <c r="O422" i="3"/>
  <c r="R422" i="3" s="1"/>
  <c r="I422" i="3"/>
  <c r="Q421" i="3"/>
  <c r="P421" i="3"/>
  <c r="O421" i="3"/>
  <c r="R421" i="3" s="1"/>
  <c r="I421" i="3"/>
  <c r="Q420" i="3"/>
  <c r="P420" i="3"/>
  <c r="O420" i="3"/>
  <c r="R420" i="3" s="1"/>
  <c r="I420" i="3"/>
  <c r="Q419" i="3"/>
  <c r="P419" i="3"/>
  <c r="O419" i="3"/>
  <c r="R419" i="3" s="1"/>
  <c r="I419" i="3"/>
  <c r="Q418" i="3"/>
  <c r="P418" i="3"/>
  <c r="O418" i="3"/>
  <c r="R418" i="3" s="1"/>
  <c r="I418" i="3"/>
  <c r="Q417" i="3"/>
  <c r="P417" i="3"/>
  <c r="O417" i="3"/>
  <c r="R417" i="3" s="1"/>
  <c r="I417" i="3"/>
  <c r="Q416" i="3"/>
  <c r="P416" i="3"/>
  <c r="O416" i="3"/>
  <c r="R416" i="3" s="1"/>
  <c r="I416" i="3"/>
  <c r="Q415" i="3"/>
  <c r="P415" i="3"/>
  <c r="O415" i="3"/>
  <c r="R415" i="3" s="1"/>
  <c r="I415" i="3"/>
  <c r="Q414" i="3"/>
  <c r="P414" i="3"/>
  <c r="O414" i="3"/>
  <c r="R414" i="3" s="1"/>
  <c r="I414" i="3"/>
  <c r="Q413" i="3"/>
  <c r="P413" i="3"/>
  <c r="O413" i="3"/>
  <c r="R413" i="3" s="1"/>
  <c r="I413" i="3"/>
  <c r="Q412" i="3"/>
  <c r="P412" i="3"/>
  <c r="O412" i="3"/>
  <c r="R412" i="3" s="1"/>
  <c r="I412" i="3"/>
  <c r="Q411" i="3"/>
  <c r="P411" i="3"/>
  <c r="O411" i="3"/>
  <c r="R411" i="3" s="1"/>
  <c r="I411" i="3"/>
  <c r="Q410" i="3"/>
  <c r="P410" i="3"/>
  <c r="O410" i="3"/>
  <c r="R410" i="3" s="1"/>
  <c r="I410" i="3"/>
  <c r="Q409" i="3"/>
  <c r="P409" i="3"/>
  <c r="O409" i="3"/>
  <c r="R409" i="3" s="1"/>
  <c r="I409" i="3"/>
  <c r="Q408" i="3"/>
  <c r="P408" i="3"/>
  <c r="O408" i="3"/>
  <c r="R408" i="3" s="1"/>
  <c r="I408" i="3"/>
  <c r="Q407" i="3"/>
  <c r="P407" i="3"/>
  <c r="O407" i="3"/>
  <c r="R407" i="3" s="1"/>
  <c r="I407" i="3"/>
  <c r="Q406" i="3"/>
  <c r="P406" i="3"/>
  <c r="O406" i="3"/>
  <c r="I406" i="3"/>
  <c r="Q405" i="3"/>
  <c r="P405" i="3"/>
  <c r="O405" i="3"/>
  <c r="R405" i="3" s="1"/>
  <c r="I405" i="3"/>
  <c r="Q404" i="3"/>
  <c r="P404" i="3"/>
  <c r="O404" i="3"/>
  <c r="R404" i="3" s="1"/>
  <c r="I404" i="3"/>
  <c r="Q403" i="3"/>
  <c r="P403" i="3"/>
  <c r="O403" i="3"/>
  <c r="R403" i="3" s="1"/>
  <c r="I403" i="3"/>
  <c r="Q402" i="3"/>
  <c r="P402" i="3"/>
  <c r="O402" i="3"/>
  <c r="R402" i="3" s="1"/>
  <c r="I402" i="3"/>
  <c r="Q401" i="3"/>
  <c r="P401" i="3"/>
  <c r="O401" i="3"/>
  <c r="R401" i="3" s="1"/>
  <c r="I401" i="3"/>
  <c r="Q400" i="3"/>
  <c r="P400" i="3"/>
  <c r="O400" i="3"/>
  <c r="I400" i="3"/>
  <c r="Q399" i="3"/>
  <c r="P399" i="3"/>
  <c r="O399" i="3"/>
  <c r="R399" i="3" s="1"/>
  <c r="I399" i="3"/>
  <c r="Q398" i="3"/>
  <c r="P398" i="3"/>
  <c r="O398" i="3"/>
  <c r="R398" i="3" s="1"/>
  <c r="I398" i="3"/>
  <c r="Q397" i="3"/>
  <c r="P397" i="3"/>
  <c r="O397" i="3"/>
  <c r="R397" i="3" s="1"/>
  <c r="I397" i="3"/>
  <c r="Q396" i="3"/>
  <c r="P396" i="3"/>
  <c r="O396" i="3"/>
  <c r="R396" i="3" s="1"/>
  <c r="I396" i="3"/>
  <c r="Q395" i="3"/>
  <c r="P395" i="3"/>
  <c r="O395" i="3"/>
  <c r="R395" i="3" s="1"/>
  <c r="I395" i="3"/>
  <c r="Q394" i="3"/>
  <c r="P394" i="3"/>
  <c r="O394" i="3"/>
  <c r="R394" i="3" s="1"/>
  <c r="I394" i="3"/>
  <c r="Q393" i="3"/>
  <c r="P393" i="3"/>
  <c r="O393" i="3"/>
  <c r="R393" i="3" s="1"/>
  <c r="I393" i="3"/>
  <c r="Q392" i="3"/>
  <c r="P392" i="3"/>
  <c r="O392" i="3"/>
  <c r="R392" i="3" s="1"/>
  <c r="I392" i="3"/>
  <c r="Q391" i="3"/>
  <c r="P391" i="3"/>
  <c r="O391" i="3"/>
  <c r="R391" i="3" s="1"/>
  <c r="I391" i="3"/>
  <c r="Q390" i="3"/>
  <c r="P390" i="3"/>
  <c r="O390" i="3"/>
  <c r="R390" i="3" s="1"/>
  <c r="I390" i="3"/>
  <c r="Q389" i="3"/>
  <c r="P389" i="3"/>
  <c r="O389" i="3"/>
  <c r="R389" i="3" s="1"/>
  <c r="I389" i="3"/>
  <c r="Q388" i="3"/>
  <c r="P388" i="3"/>
  <c r="O388" i="3"/>
  <c r="R388" i="3" s="1"/>
  <c r="I388" i="3"/>
  <c r="Q387" i="3"/>
  <c r="P387" i="3"/>
  <c r="O387" i="3"/>
  <c r="R387" i="3" s="1"/>
  <c r="I387" i="3"/>
  <c r="Q386" i="3"/>
  <c r="P386" i="3"/>
  <c r="O386" i="3"/>
  <c r="R386" i="3" s="1"/>
  <c r="I386" i="3"/>
  <c r="Q385" i="3"/>
  <c r="P385" i="3"/>
  <c r="O385" i="3"/>
  <c r="R385" i="3" s="1"/>
  <c r="I385" i="3"/>
  <c r="Q384" i="3"/>
  <c r="P384" i="3"/>
  <c r="O384" i="3"/>
  <c r="R384" i="3" s="1"/>
  <c r="I384" i="3"/>
  <c r="Q383" i="3"/>
  <c r="P383" i="3"/>
  <c r="O383" i="3"/>
  <c r="R383" i="3" s="1"/>
  <c r="I383" i="3"/>
  <c r="Q382" i="3"/>
  <c r="P382" i="3"/>
  <c r="O382" i="3"/>
  <c r="R382" i="3" s="1"/>
  <c r="I382" i="3"/>
  <c r="Q381" i="3"/>
  <c r="P381" i="3"/>
  <c r="O381" i="3"/>
  <c r="R381" i="3" s="1"/>
  <c r="I381" i="3"/>
  <c r="Q380" i="3"/>
  <c r="P380" i="3"/>
  <c r="O380" i="3"/>
  <c r="R380" i="3" s="1"/>
  <c r="I380" i="3"/>
  <c r="Q379" i="3"/>
  <c r="P379" i="3"/>
  <c r="O379" i="3"/>
  <c r="R379" i="3" s="1"/>
  <c r="I379" i="3"/>
  <c r="Q378" i="3"/>
  <c r="P378" i="3"/>
  <c r="O378" i="3"/>
  <c r="R378" i="3" s="1"/>
  <c r="I378" i="3"/>
  <c r="Q377" i="3"/>
  <c r="P377" i="3"/>
  <c r="O377" i="3"/>
  <c r="R377" i="3" s="1"/>
  <c r="I377" i="3"/>
  <c r="Q376" i="3"/>
  <c r="P376" i="3"/>
  <c r="O376" i="3"/>
  <c r="R376" i="3" s="1"/>
  <c r="I376" i="3"/>
  <c r="Q375" i="3"/>
  <c r="P375" i="3"/>
  <c r="O375" i="3"/>
  <c r="R375" i="3" s="1"/>
  <c r="I375" i="3"/>
  <c r="Q374" i="3"/>
  <c r="P374" i="3"/>
  <c r="O374" i="3"/>
  <c r="R374" i="3" s="1"/>
  <c r="I374" i="3"/>
  <c r="Q373" i="3"/>
  <c r="P373" i="3"/>
  <c r="O373" i="3"/>
  <c r="R373" i="3" s="1"/>
  <c r="I373" i="3"/>
  <c r="Q372" i="3"/>
  <c r="P372" i="3"/>
  <c r="O372" i="3"/>
  <c r="R372" i="3" s="1"/>
  <c r="I372" i="3"/>
  <c r="Q371" i="3"/>
  <c r="P371" i="3"/>
  <c r="O371" i="3"/>
  <c r="R371" i="3" s="1"/>
  <c r="I371" i="3"/>
  <c r="Q370" i="3"/>
  <c r="P370" i="3"/>
  <c r="O370" i="3"/>
  <c r="R370" i="3" s="1"/>
  <c r="I370" i="3"/>
  <c r="Q369" i="3"/>
  <c r="P369" i="3"/>
  <c r="O369" i="3"/>
  <c r="R369" i="3" s="1"/>
  <c r="I369" i="3"/>
  <c r="Q368" i="3"/>
  <c r="P368" i="3"/>
  <c r="O368" i="3"/>
  <c r="R368" i="3" s="1"/>
  <c r="I368" i="3"/>
  <c r="Q367" i="3"/>
  <c r="P367" i="3"/>
  <c r="O367" i="3"/>
  <c r="R367" i="3" s="1"/>
  <c r="I367" i="3"/>
  <c r="Q366" i="3"/>
  <c r="P366" i="3"/>
  <c r="O366" i="3"/>
  <c r="R366" i="3" s="1"/>
  <c r="I366" i="3"/>
  <c r="Q365" i="3"/>
  <c r="P365" i="3"/>
  <c r="O365" i="3"/>
  <c r="R365" i="3" s="1"/>
  <c r="I365" i="3"/>
  <c r="Q364" i="3"/>
  <c r="P364" i="3"/>
  <c r="O364" i="3"/>
  <c r="R364" i="3" s="1"/>
  <c r="I364" i="3"/>
  <c r="Q363" i="3"/>
  <c r="P363" i="3"/>
  <c r="O363" i="3"/>
  <c r="R363" i="3" s="1"/>
  <c r="I363" i="3"/>
  <c r="Q362" i="3"/>
  <c r="P362" i="3"/>
  <c r="O362" i="3"/>
  <c r="R362" i="3" s="1"/>
  <c r="I362" i="3"/>
  <c r="Q361" i="3"/>
  <c r="P361" i="3"/>
  <c r="O361" i="3"/>
  <c r="R361" i="3" s="1"/>
  <c r="I361" i="3"/>
  <c r="Q360" i="3"/>
  <c r="P360" i="3"/>
  <c r="O360" i="3"/>
  <c r="R360" i="3" s="1"/>
  <c r="I360" i="3"/>
  <c r="Q359" i="3"/>
  <c r="P359" i="3"/>
  <c r="O359" i="3"/>
  <c r="R359" i="3" s="1"/>
  <c r="I359" i="3"/>
  <c r="Q358" i="3"/>
  <c r="P358" i="3"/>
  <c r="O358" i="3"/>
  <c r="R358" i="3" s="1"/>
  <c r="I358" i="3"/>
  <c r="Q357" i="3"/>
  <c r="P357" i="3"/>
  <c r="O357" i="3"/>
  <c r="R357" i="3" s="1"/>
  <c r="I357" i="3"/>
  <c r="Q356" i="3"/>
  <c r="P356" i="3"/>
  <c r="O356" i="3"/>
  <c r="R356" i="3" s="1"/>
  <c r="I356" i="3"/>
  <c r="Q355" i="3"/>
  <c r="P355" i="3"/>
  <c r="O355" i="3"/>
  <c r="R355" i="3" s="1"/>
  <c r="I355" i="3"/>
  <c r="Q354" i="3"/>
  <c r="P354" i="3"/>
  <c r="O354" i="3"/>
  <c r="R354" i="3" s="1"/>
  <c r="I354" i="3"/>
  <c r="Q353" i="3"/>
  <c r="P353" i="3"/>
  <c r="O353" i="3"/>
  <c r="R353" i="3" s="1"/>
  <c r="I353" i="3"/>
  <c r="Q352" i="3"/>
  <c r="P352" i="3"/>
  <c r="O352" i="3"/>
  <c r="R352" i="3" s="1"/>
  <c r="I352" i="3"/>
  <c r="Q351" i="3"/>
  <c r="P351" i="3"/>
  <c r="O351" i="3"/>
  <c r="R351" i="3" s="1"/>
  <c r="I351" i="3"/>
  <c r="Q350" i="3"/>
  <c r="P350" i="3"/>
  <c r="O350" i="3"/>
  <c r="R350" i="3" s="1"/>
  <c r="I350" i="3"/>
  <c r="Q349" i="3"/>
  <c r="P349" i="3"/>
  <c r="O349" i="3"/>
  <c r="R349" i="3" s="1"/>
  <c r="I349" i="3"/>
  <c r="Q348" i="3"/>
  <c r="P348" i="3"/>
  <c r="O348" i="3"/>
  <c r="R348" i="3" s="1"/>
  <c r="I348" i="3"/>
  <c r="Q347" i="3"/>
  <c r="P347" i="3"/>
  <c r="O347" i="3"/>
  <c r="R347" i="3" s="1"/>
  <c r="I347" i="3"/>
  <c r="Q346" i="3"/>
  <c r="P346" i="3"/>
  <c r="O346" i="3"/>
  <c r="R346" i="3" s="1"/>
  <c r="I346" i="3"/>
  <c r="Q345" i="3"/>
  <c r="P345" i="3"/>
  <c r="O345" i="3"/>
  <c r="R345" i="3" s="1"/>
  <c r="I345" i="3"/>
  <c r="Q344" i="3"/>
  <c r="P344" i="3"/>
  <c r="O344" i="3"/>
  <c r="R344" i="3" s="1"/>
  <c r="I344" i="3"/>
  <c r="Q343" i="3"/>
  <c r="P343" i="3"/>
  <c r="O343" i="3"/>
  <c r="R343" i="3" s="1"/>
  <c r="I343" i="3"/>
  <c r="Q342" i="3"/>
  <c r="P342" i="3"/>
  <c r="O342" i="3"/>
  <c r="R342" i="3" s="1"/>
  <c r="I342" i="3"/>
  <c r="Q341" i="3"/>
  <c r="P341" i="3"/>
  <c r="O341" i="3"/>
  <c r="R341" i="3" s="1"/>
  <c r="I341" i="3"/>
  <c r="Q340" i="3"/>
  <c r="P340" i="3"/>
  <c r="O340" i="3"/>
  <c r="R340" i="3" s="1"/>
  <c r="I340" i="3"/>
  <c r="Q339" i="3"/>
  <c r="P339" i="3"/>
  <c r="O339" i="3"/>
  <c r="R339" i="3" s="1"/>
  <c r="I339" i="3"/>
  <c r="Q338" i="3"/>
  <c r="P338" i="3"/>
  <c r="O338" i="3"/>
  <c r="R338" i="3" s="1"/>
  <c r="I338" i="3"/>
  <c r="Q337" i="3"/>
  <c r="P337" i="3"/>
  <c r="O337" i="3"/>
  <c r="R337" i="3" s="1"/>
  <c r="I337" i="3"/>
  <c r="Q336" i="3"/>
  <c r="P336" i="3"/>
  <c r="O336" i="3"/>
  <c r="R336" i="3" s="1"/>
  <c r="I336" i="3"/>
  <c r="Q335" i="3"/>
  <c r="P335" i="3"/>
  <c r="O335" i="3"/>
  <c r="I335" i="3"/>
  <c r="Q334" i="3"/>
  <c r="P334" i="3"/>
  <c r="O334" i="3"/>
  <c r="R334" i="3" s="1"/>
  <c r="I334" i="3"/>
  <c r="Q333" i="3"/>
  <c r="P333" i="3"/>
  <c r="O333" i="3"/>
  <c r="R333" i="3" s="1"/>
  <c r="I333" i="3"/>
  <c r="Q332" i="3"/>
  <c r="P332" i="3"/>
  <c r="O332" i="3"/>
  <c r="R332" i="3" s="1"/>
  <c r="I332" i="3"/>
  <c r="Q331" i="3"/>
  <c r="P331" i="3"/>
  <c r="O331" i="3"/>
  <c r="R331" i="3" s="1"/>
  <c r="I331" i="3"/>
  <c r="Q330" i="3"/>
  <c r="P330" i="3"/>
  <c r="O330" i="3"/>
  <c r="R330" i="3" s="1"/>
  <c r="I330" i="3"/>
  <c r="Q329" i="3"/>
  <c r="P329" i="3"/>
  <c r="O329" i="3"/>
  <c r="R329" i="3" s="1"/>
  <c r="I329" i="3"/>
  <c r="Q328" i="3"/>
  <c r="P328" i="3"/>
  <c r="O328" i="3"/>
  <c r="R328" i="3" s="1"/>
  <c r="I328" i="3"/>
  <c r="Q327" i="3"/>
  <c r="P327" i="3"/>
  <c r="O327" i="3"/>
  <c r="R327" i="3" s="1"/>
  <c r="I327" i="3"/>
  <c r="Q326" i="3"/>
  <c r="P326" i="3"/>
  <c r="O326" i="3"/>
  <c r="I326" i="3"/>
  <c r="Q325" i="3"/>
  <c r="P325" i="3"/>
  <c r="O325" i="3"/>
  <c r="R325" i="3" s="1"/>
  <c r="I325" i="3"/>
  <c r="Q324" i="3"/>
  <c r="P324" i="3"/>
  <c r="O324" i="3"/>
  <c r="I324" i="3"/>
  <c r="Q323" i="3"/>
  <c r="P323" i="3"/>
  <c r="O323" i="3"/>
  <c r="R323" i="3" s="1"/>
  <c r="I323" i="3"/>
  <c r="Q322" i="3"/>
  <c r="P322" i="3"/>
  <c r="O322" i="3"/>
  <c r="R322" i="3" s="1"/>
  <c r="I322" i="3"/>
  <c r="Q321" i="3"/>
  <c r="P321" i="3"/>
  <c r="O321" i="3"/>
  <c r="R321" i="3" s="1"/>
  <c r="I321" i="3"/>
  <c r="Q320" i="3"/>
  <c r="P320" i="3"/>
  <c r="O320" i="3"/>
  <c r="R320" i="3" s="1"/>
  <c r="I320" i="3"/>
  <c r="Q319" i="3"/>
  <c r="P319" i="3"/>
  <c r="O319" i="3"/>
  <c r="R319" i="3" s="1"/>
  <c r="I319" i="3"/>
  <c r="Q318" i="3"/>
  <c r="P318" i="3"/>
  <c r="O318" i="3"/>
  <c r="R318" i="3" s="1"/>
  <c r="I318" i="3"/>
  <c r="Q317" i="3"/>
  <c r="P317" i="3"/>
  <c r="O317" i="3"/>
  <c r="R317" i="3" s="1"/>
  <c r="I317" i="3"/>
  <c r="Q316" i="3"/>
  <c r="P316" i="3"/>
  <c r="O316" i="3"/>
  <c r="R316" i="3" s="1"/>
  <c r="I316" i="3"/>
  <c r="Q315" i="3"/>
  <c r="P315" i="3"/>
  <c r="O315" i="3"/>
  <c r="R315" i="3" s="1"/>
  <c r="I315" i="3"/>
  <c r="Q314" i="3"/>
  <c r="P314" i="3"/>
  <c r="O314" i="3"/>
  <c r="R314" i="3" s="1"/>
  <c r="I314" i="3"/>
  <c r="Q313" i="3"/>
  <c r="P313" i="3"/>
  <c r="O313" i="3"/>
  <c r="R313" i="3" s="1"/>
  <c r="I313" i="3"/>
  <c r="Q312" i="3"/>
  <c r="P312" i="3"/>
  <c r="O312" i="3"/>
  <c r="R312" i="3" s="1"/>
  <c r="I312" i="3"/>
  <c r="Q311" i="3"/>
  <c r="P311" i="3"/>
  <c r="O311" i="3"/>
  <c r="R311" i="3" s="1"/>
  <c r="I311" i="3"/>
  <c r="Q310" i="3"/>
  <c r="P310" i="3"/>
  <c r="O310" i="3"/>
  <c r="R310" i="3" s="1"/>
  <c r="I310" i="3"/>
  <c r="Q309" i="3"/>
  <c r="P309" i="3"/>
  <c r="O309" i="3"/>
  <c r="R309" i="3" s="1"/>
  <c r="I309" i="3"/>
  <c r="Q308" i="3"/>
  <c r="P308" i="3"/>
  <c r="O308" i="3"/>
  <c r="R308" i="3" s="1"/>
  <c r="I308" i="3"/>
  <c r="Q307" i="3"/>
  <c r="P307" i="3"/>
  <c r="O307" i="3"/>
  <c r="R307" i="3" s="1"/>
  <c r="I307" i="3"/>
  <c r="Q306" i="3"/>
  <c r="P306" i="3"/>
  <c r="O306" i="3"/>
  <c r="R306" i="3" s="1"/>
  <c r="I306" i="3"/>
  <c r="Q305" i="3"/>
  <c r="P305" i="3"/>
  <c r="O305" i="3"/>
  <c r="R305" i="3" s="1"/>
  <c r="I305" i="3"/>
  <c r="Q304" i="3"/>
  <c r="P304" i="3"/>
  <c r="O304" i="3"/>
  <c r="R304" i="3" s="1"/>
  <c r="I304" i="3"/>
  <c r="Q303" i="3"/>
  <c r="P303" i="3"/>
  <c r="O303" i="3"/>
  <c r="R303" i="3" s="1"/>
  <c r="I303" i="3"/>
  <c r="Q302" i="3"/>
  <c r="P302" i="3"/>
  <c r="O302" i="3"/>
  <c r="R302" i="3" s="1"/>
  <c r="I302" i="3"/>
  <c r="Q301" i="3"/>
  <c r="P301" i="3"/>
  <c r="O301" i="3"/>
  <c r="R301" i="3" s="1"/>
  <c r="I301" i="3"/>
  <c r="Q300" i="3"/>
  <c r="P300" i="3"/>
  <c r="O300" i="3"/>
  <c r="R300" i="3" s="1"/>
  <c r="I300" i="3"/>
  <c r="Q299" i="3"/>
  <c r="P299" i="3"/>
  <c r="O299" i="3"/>
  <c r="R299" i="3" s="1"/>
  <c r="I299" i="3"/>
  <c r="Q298" i="3"/>
  <c r="P298" i="3"/>
  <c r="O298" i="3"/>
  <c r="R298" i="3" s="1"/>
  <c r="I298" i="3"/>
  <c r="Q297" i="3"/>
  <c r="P297" i="3"/>
  <c r="O297" i="3"/>
  <c r="I297" i="3"/>
  <c r="Q296" i="3"/>
  <c r="P296" i="3"/>
  <c r="O296" i="3"/>
  <c r="R296" i="3" s="1"/>
  <c r="I296" i="3"/>
  <c r="Q295" i="3"/>
  <c r="P295" i="3"/>
  <c r="O295" i="3"/>
  <c r="R295" i="3" s="1"/>
  <c r="I295" i="3"/>
  <c r="Q294" i="3"/>
  <c r="P294" i="3"/>
  <c r="O294" i="3"/>
  <c r="R294" i="3" s="1"/>
  <c r="I294" i="3"/>
  <c r="Q293" i="3"/>
  <c r="P293" i="3"/>
  <c r="O293" i="3"/>
  <c r="R293" i="3" s="1"/>
  <c r="I293" i="3"/>
  <c r="Q292" i="3"/>
  <c r="P292" i="3"/>
  <c r="O292" i="3"/>
  <c r="R292" i="3" s="1"/>
  <c r="I292" i="3"/>
  <c r="Q291" i="3"/>
  <c r="P291" i="3"/>
  <c r="O291" i="3"/>
  <c r="R291" i="3" s="1"/>
  <c r="I291" i="3"/>
  <c r="Q290" i="3"/>
  <c r="P290" i="3"/>
  <c r="O290" i="3"/>
  <c r="R290" i="3" s="1"/>
  <c r="I290" i="3"/>
  <c r="Q289" i="3"/>
  <c r="P289" i="3"/>
  <c r="O289" i="3"/>
  <c r="R289" i="3" s="1"/>
  <c r="I289" i="3"/>
  <c r="Q288" i="3"/>
  <c r="P288" i="3"/>
  <c r="O288" i="3"/>
  <c r="R288" i="3" s="1"/>
  <c r="I288" i="3"/>
  <c r="Q287" i="3"/>
  <c r="P287" i="3"/>
  <c r="O287" i="3"/>
  <c r="R287" i="3" s="1"/>
  <c r="I287" i="3"/>
  <c r="Q286" i="3"/>
  <c r="P286" i="3"/>
  <c r="O286" i="3"/>
  <c r="R286" i="3" s="1"/>
  <c r="I286" i="3"/>
  <c r="Q285" i="3"/>
  <c r="P285" i="3"/>
  <c r="O285" i="3"/>
  <c r="R285" i="3" s="1"/>
  <c r="I285" i="3"/>
  <c r="Q284" i="3"/>
  <c r="P284" i="3"/>
  <c r="O284" i="3"/>
  <c r="R284" i="3" s="1"/>
  <c r="I284" i="3"/>
  <c r="Q283" i="3"/>
  <c r="P283" i="3"/>
  <c r="O283" i="3"/>
  <c r="R283" i="3" s="1"/>
  <c r="I283" i="3"/>
  <c r="Q282" i="3"/>
  <c r="P282" i="3"/>
  <c r="O282" i="3"/>
  <c r="I282" i="3"/>
  <c r="Q281" i="3"/>
  <c r="P281" i="3"/>
  <c r="O281" i="3"/>
  <c r="R281" i="3" s="1"/>
  <c r="I281" i="3"/>
  <c r="Q280" i="3"/>
  <c r="P280" i="3"/>
  <c r="O280" i="3"/>
  <c r="R280" i="3" s="1"/>
  <c r="I280" i="3"/>
  <c r="Q279" i="3"/>
  <c r="P279" i="3"/>
  <c r="O279" i="3"/>
  <c r="R279" i="3" s="1"/>
  <c r="I279" i="3"/>
  <c r="Q278" i="3"/>
  <c r="P278" i="3"/>
  <c r="O278" i="3"/>
  <c r="R278" i="3" s="1"/>
  <c r="I278" i="3"/>
  <c r="Q277" i="3"/>
  <c r="P277" i="3"/>
  <c r="O277" i="3"/>
  <c r="R277" i="3" s="1"/>
  <c r="I277" i="3"/>
  <c r="Q276" i="3"/>
  <c r="P276" i="3"/>
  <c r="O276" i="3"/>
  <c r="R276" i="3" s="1"/>
  <c r="I276" i="3"/>
  <c r="Q275" i="3"/>
  <c r="P275" i="3"/>
  <c r="O275" i="3"/>
  <c r="R275" i="3" s="1"/>
  <c r="I275" i="3"/>
  <c r="Q274" i="3"/>
  <c r="P274" i="3"/>
  <c r="O274" i="3"/>
  <c r="R274" i="3" s="1"/>
  <c r="I274" i="3"/>
  <c r="Q273" i="3"/>
  <c r="P273" i="3"/>
  <c r="O273" i="3"/>
  <c r="R273" i="3" s="1"/>
  <c r="I273" i="3"/>
  <c r="Q272" i="3"/>
  <c r="P272" i="3"/>
  <c r="O272" i="3"/>
  <c r="I272" i="3"/>
  <c r="Q271" i="3"/>
  <c r="P271" i="3"/>
  <c r="O271" i="3"/>
  <c r="R271" i="3" s="1"/>
  <c r="I271" i="3"/>
  <c r="Q270" i="3"/>
  <c r="P270" i="3"/>
  <c r="O270" i="3"/>
  <c r="R270" i="3" s="1"/>
  <c r="I270" i="3"/>
  <c r="Q269" i="3"/>
  <c r="P269" i="3"/>
  <c r="O269" i="3"/>
  <c r="I269" i="3"/>
  <c r="Q268" i="3"/>
  <c r="P268" i="3"/>
  <c r="O268" i="3"/>
  <c r="R268" i="3" s="1"/>
  <c r="I268" i="3"/>
  <c r="Q267" i="3"/>
  <c r="P267" i="3"/>
  <c r="O267" i="3"/>
  <c r="I267" i="3"/>
  <c r="Q266" i="3"/>
  <c r="P266" i="3"/>
  <c r="O266" i="3"/>
  <c r="R266" i="3" s="1"/>
  <c r="I266" i="3"/>
  <c r="Q265" i="3"/>
  <c r="P265" i="3"/>
  <c r="O265" i="3"/>
  <c r="R265" i="3" s="1"/>
  <c r="I265" i="3"/>
  <c r="Q264" i="3"/>
  <c r="P264" i="3"/>
  <c r="O264" i="3"/>
  <c r="R264" i="3" s="1"/>
  <c r="I264" i="3"/>
  <c r="Q263" i="3"/>
  <c r="P263" i="3"/>
  <c r="O263" i="3"/>
  <c r="I263" i="3"/>
  <c r="Q262" i="3"/>
  <c r="P262" i="3"/>
  <c r="O262" i="3"/>
  <c r="R262" i="3" s="1"/>
  <c r="I262" i="3"/>
  <c r="Q261" i="3"/>
  <c r="P261" i="3"/>
  <c r="O261" i="3"/>
  <c r="I261" i="3"/>
  <c r="Q260" i="3"/>
  <c r="P260" i="3"/>
  <c r="O260" i="3"/>
  <c r="R260" i="3" s="1"/>
  <c r="I260" i="3"/>
  <c r="Q259" i="3"/>
  <c r="P259" i="3"/>
  <c r="O259" i="3"/>
  <c r="R259" i="3" s="1"/>
  <c r="I259" i="3"/>
  <c r="Q258" i="3"/>
  <c r="P258" i="3"/>
  <c r="O258" i="3"/>
  <c r="R258" i="3" s="1"/>
  <c r="I258" i="3"/>
  <c r="Q257" i="3"/>
  <c r="P257" i="3"/>
  <c r="O257" i="3"/>
  <c r="R257" i="3" s="1"/>
  <c r="I257" i="3"/>
  <c r="Q256" i="3"/>
  <c r="P256" i="3"/>
  <c r="O256" i="3"/>
  <c r="R256" i="3" s="1"/>
  <c r="I256" i="3"/>
  <c r="Q255" i="3"/>
  <c r="P255" i="3"/>
  <c r="O255" i="3"/>
  <c r="R255" i="3" s="1"/>
  <c r="I255" i="3"/>
  <c r="Q254" i="3"/>
  <c r="P254" i="3"/>
  <c r="O254" i="3"/>
  <c r="R254" i="3" s="1"/>
  <c r="I254" i="3"/>
  <c r="Q253" i="3"/>
  <c r="P253" i="3"/>
  <c r="O253" i="3"/>
  <c r="R253" i="3" s="1"/>
  <c r="I253" i="3"/>
  <c r="Q252" i="3"/>
  <c r="P252" i="3"/>
  <c r="O252" i="3"/>
  <c r="R252" i="3" s="1"/>
  <c r="I252" i="3"/>
  <c r="Q251" i="3"/>
  <c r="P251" i="3"/>
  <c r="O251" i="3"/>
  <c r="R251" i="3" s="1"/>
  <c r="I251" i="3"/>
  <c r="Q250" i="3"/>
  <c r="P250" i="3"/>
  <c r="O250" i="3"/>
  <c r="R250" i="3" s="1"/>
  <c r="I250" i="3"/>
  <c r="Q249" i="3"/>
  <c r="P249" i="3"/>
  <c r="O249" i="3"/>
  <c r="R249" i="3" s="1"/>
  <c r="I249" i="3"/>
  <c r="Q248" i="3"/>
  <c r="P248" i="3"/>
  <c r="O248" i="3"/>
  <c r="R248" i="3" s="1"/>
  <c r="I248" i="3"/>
  <c r="Q247" i="3"/>
  <c r="P247" i="3"/>
  <c r="O247" i="3"/>
  <c r="R247" i="3" s="1"/>
  <c r="I247" i="3"/>
  <c r="Q246" i="3"/>
  <c r="P246" i="3"/>
  <c r="O246" i="3"/>
  <c r="R246" i="3" s="1"/>
  <c r="I246" i="3"/>
  <c r="Q245" i="3"/>
  <c r="P245" i="3"/>
  <c r="O245" i="3"/>
  <c r="R245" i="3" s="1"/>
  <c r="I245" i="3"/>
  <c r="Q244" i="3"/>
  <c r="P244" i="3"/>
  <c r="O244" i="3"/>
  <c r="R244" i="3" s="1"/>
  <c r="I244" i="3"/>
  <c r="Q243" i="3"/>
  <c r="P243" i="3"/>
  <c r="O243" i="3"/>
  <c r="R243" i="3" s="1"/>
  <c r="I243" i="3"/>
  <c r="Q242" i="3"/>
  <c r="P242" i="3"/>
  <c r="O242" i="3"/>
  <c r="R242" i="3" s="1"/>
  <c r="I242" i="3"/>
  <c r="Q241" i="3"/>
  <c r="P241" i="3"/>
  <c r="O241" i="3"/>
  <c r="R241" i="3" s="1"/>
  <c r="I241" i="3"/>
  <c r="Q240" i="3"/>
  <c r="P240" i="3"/>
  <c r="O240" i="3"/>
  <c r="R240" i="3" s="1"/>
  <c r="I240" i="3"/>
  <c r="Q239" i="3"/>
  <c r="P239" i="3"/>
  <c r="O239" i="3"/>
  <c r="R239" i="3" s="1"/>
  <c r="I239" i="3"/>
  <c r="Q238" i="3"/>
  <c r="P238" i="3"/>
  <c r="O238" i="3"/>
  <c r="R238" i="3" s="1"/>
  <c r="I238" i="3"/>
  <c r="Q237" i="3"/>
  <c r="P237" i="3"/>
  <c r="O237" i="3"/>
  <c r="I237" i="3"/>
  <c r="Q236" i="3"/>
  <c r="P236" i="3"/>
  <c r="O236" i="3"/>
  <c r="R236" i="3" s="1"/>
  <c r="I236" i="3"/>
  <c r="Q235" i="3"/>
  <c r="P235" i="3"/>
  <c r="O235" i="3"/>
  <c r="I235" i="3"/>
  <c r="Q234" i="3"/>
  <c r="P234" i="3"/>
  <c r="O234" i="3"/>
  <c r="I234" i="3"/>
  <c r="Q233" i="3"/>
  <c r="P233" i="3"/>
  <c r="O233" i="3"/>
  <c r="R233" i="3" s="1"/>
  <c r="I233" i="3"/>
  <c r="Q232" i="3"/>
  <c r="P232" i="3"/>
  <c r="O232" i="3"/>
  <c r="I232" i="3"/>
  <c r="Q231" i="3"/>
  <c r="P231" i="3"/>
  <c r="O231" i="3"/>
  <c r="I231" i="3"/>
  <c r="Q230" i="3"/>
  <c r="P230" i="3"/>
  <c r="O230" i="3"/>
  <c r="R230" i="3" s="1"/>
  <c r="I230" i="3"/>
  <c r="Q229" i="3"/>
  <c r="P229" i="3"/>
  <c r="O229" i="3"/>
  <c r="I229" i="3"/>
  <c r="Q228" i="3"/>
  <c r="P228" i="3"/>
  <c r="O228" i="3"/>
  <c r="R228" i="3" s="1"/>
  <c r="I228" i="3"/>
  <c r="Q227" i="3"/>
  <c r="P227" i="3"/>
  <c r="O227" i="3"/>
  <c r="I227" i="3"/>
  <c r="Q226" i="3"/>
  <c r="P226" i="3"/>
  <c r="O226" i="3"/>
  <c r="R226" i="3" s="1"/>
  <c r="I226" i="3"/>
  <c r="Q225" i="3"/>
  <c r="P225" i="3"/>
  <c r="O225" i="3"/>
  <c r="R225" i="3" s="1"/>
  <c r="I225" i="3"/>
  <c r="Q224" i="3"/>
  <c r="P224" i="3"/>
  <c r="O224" i="3"/>
  <c r="R224" i="3" s="1"/>
  <c r="I224" i="3"/>
  <c r="Q223" i="3"/>
  <c r="P223" i="3"/>
  <c r="O223" i="3"/>
  <c r="R223" i="3" s="1"/>
  <c r="I223" i="3"/>
  <c r="Q222" i="3"/>
  <c r="P222" i="3"/>
  <c r="O222" i="3"/>
  <c r="R222" i="3" s="1"/>
  <c r="I222" i="3"/>
  <c r="Q221" i="3"/>
  <c r="P221" i="3"/>
  <c r="O221" i="3"/>
  <c r="R221" i="3" s="1"/>
  <c r="I221" i="3"/>
  <c r="Q220" i="3"/>
  <c r="P220" i="3"/>
  <c r="O220" i="3"/>
  <c r="I220" i="3"/>
  <c r="Q219" i="3"/>
  <c r="P219" i="3"/>
  <c r="O219" i="3"/>
  <c r="R219" i="3" s="1"/>
  <c r="I219" i="3"/>
  <c r="Q218" i="3"/>
  <c r="P218" i="3"/>
  <c r="O218" i="3"/>
  <c r="R218" i="3" s="1"/>
  <c r="I218" i="3"/>
  <c r="Q217" i="3"/>
  <c r="P217" i="3"/>
  <c r="O217" i="3"/>
  <c r="I217" i="3"/>
  <c r="Q216" i="3"/>
  <c r="P216" i="3"/>
  <c r="O216" i="3"/>
  <c r="R216" i="3" s="1"/>
  <c r="I216" i="3"/>
  <c r="Q215" i="3"/>
  <c r="P215" i="3"/>
  <c r="O215" i="3"/>
  <c r="R215" i="3" s="1"/>
  <c r="I215" i="3"/>
  <c r="Q214" i="3"/>
  <c r="P214" i="3"/>
  <c r="O214" i="3"/>
  <c r="R214" i="3" s="1"/>
  <c r="I214" i="3"/>
  <c r="Q213" i="3"/>
  <c r="P213" i="3"/>
  <c r="O213" i="3"/>
  <c r="R213" i="3" s="1"/>
  <c r="I213" i="3"/>
  <c r="Q212" i="3"/>
  <c r="P212" i="3"/>
  <c r="O212" i="3"/>
  <c r="R212" i="3" s="1"/>
  <c r="I212" i="3"/>
  <c r="Q211" i="3"/>
  <c r="P211" i="3"/>
  <c r="O211" i="3"/>
  <c r="I211" i="3"/>
  <c r="Q210" i="3"/>
  <c r="P210" i="3"/>
  <c r="O210" i="3"/>
  <c r="I210" i="3"/>
  <c r="Q209" i="3"/>
  <c r="P209" i="3"/>
  <c r="O209" i="3"/>
  <c r="R209" i="3" s="1"/>
  <c r="I209" i="3"/>
  <c r="Q208" i="3"/>
  <c r="P208" i="3"/>
  <c r="O208" i="3"/>
  <c r="R208" i="3" s="1"/>
  <c r="I208" i="3"/>
  <c r="Q207" i="3"/>
  <c r="P207" i="3"/>
  <c r="O207" i="3"/>
  <c r="R207" i="3" s="1"/>
  <c r="I207" i="3"/>
  <c r="Q206" i="3"/>
  <c r="P206" i="3"/>
  <c r="O206" i="3"/>
  <c r="R206" i="3" s="1"/>
  <c r="I206" i="3"/>
  <c r="Q205" i="3"/>
  <c r="P205" i="3"/>
  <c r="O205" i="3"/>
  <c r="R205" i="3" s="1"/>
  <c r="I205" i="3"/>
  <c r="Q204" i="3"/>
  <c r="P204" i="3"/>
  <c r="O204" i="3"/>
  <c r="R204" i="3" s="1"/>
  <c r="I204" i="3"/>
  <c r="Q203" i="3"/>
  <c r="P203" i="3"/>
  <c r="O203" i="3"/>
  <c r="I203" i="3"/>
  <c r="Q202" i="3"/>
  <c r="P202" i="3"/>
  <c r="O202" i="3"/>
  <c r="R202" i="3" s="1"/>
  <c r="I202" i="3"/>
  <c r="Q201" i="3"/>
  <c r="P201" i="3"/>
  <c r="O201" i="3"/>
  <c r="R201" i="3" s="1"/>
  <c r="I201" i="3"/>
  <c r="Q200" i="3"/>
  <c r="P200" i="3"/>
  <c r="O200" i="3"/>
  <c r="R200" i="3" s="1"/>
  <c r="I200" i="3"/>
  <c r="Q199" i="3"/>
  <c r="P199" i="3"/>
  <c r="O199" i="3"/>
  <c r="R199" i="3" s="1"/>
  <c r="I199" i="3"/>
  <c r="Q198" i="3"/>
  <c r="P198" i="3"/>
  <c r="O198" i="3"/>
  <c r="R198" i="3" s="1"/>
  <c r="I198" i="3"/>
  <c r="Q197" i="3"/>
  <c r="P197" i="3"/>
  <c r="O197" i="3"/>
  <c r="I197" i="3"/>
  <c r="Q196" i="3"/>
  <c r="P196" i="3"/>
  <c r="O196" i="3"/>
  <c r="I196" i="3"/>
  <c r="Q195" i="3"/>
  <c r="P195" i="3"/>
  <c r="O195" i="3"/>
  <c r="R195" i="3" s="1"/>
  <c r="I195" i="3"/>
  <c r="Q194" i="3"/>
  <c r="P194" i="3"/>
  <c r="O194" i="3"/>
  <c r="R194" i="3" s="1"/>
  <c r="I194" i="3"/>
  <c r="Q193" i="3"/>
  <c r="P193" i="3"/>
  <c r="O193" i="3"/>
  <c r="I193" i="3"/>
  <c r="Q192" i="3"/>
  <c r="P192" i="3"/>
  <c r="O192" i="3"/>
  <c r="R192" i="3" s="1"/>
  <c r="I192" i="3"/>
  <c r="Q191" i="3"/>
  <c r="P191" i="3"/>
  <c r="O191" i="3"/>
  <c r="R191" i="3" s="1"/>
  <c r="I191" i="3"/>
  <c r="Q190" i="3"/>
  <c r="P190" i="3"/>
  <c r="O190" i="3"/>
  <c r="R190" i="3" s="1"/>
  <c r="I190" i="3"/>
  <c r="Q189" i="3"/>
  <c r="P189" i="3"/>
  <c r="O189" i="3"/>
  <c r="I189" i="3"/>
  <c r="Q188" i="3"/>
  <c r="P188" i="3"/>
  <c r="O188" i="3"/>
  <c r="R188" i="3" s="1"/>
  <c r="I188" i="3"/>
  <c r="Q187" i="3"/>
  <c r="P187" i="3"/>
  <c r="O187" i="3"/>
  <c r="R187" i="3" s="1"/>
  <c r="I187" i="3"/>
  <c r="Q186" i="3"/>
  <c r="P186" i="3"/>
  <c r="O186" i="3"/>
  <c r="R186" i="3" s="1"/>
  <c r="I186" i="3"/>
  <c r="Q185" i="3"/>
  <c r="P185" i="3"/>
  <c r="O185" i="3"/>
  <c r="R185" i="3" s="1"/>
  <c r="I185" i="3"/>
  <c r="Q184" i="3"/>
  <c r="P184" i="3"/>
  <c r="O184" i="3"/>
  <c r="R184" i="3" s="1"/>
  <c r="I184" i="3"/>
  <c r="Q183" i="3"/>
  <c r="P183" i="3"/>
  <c r="O183" i="3"/>
  <c r="R183" i="3" s="1"/>
  <c r="I183" i="3"/>
  <c r="Q182" i="3"/>
  <c r="P182" i="3"/>
  <c r="O182" i="3"/>
  <c r="R182" i="3" s="1"/>
  <c r="I182" i="3"/>
  <c r="Q181" i="3"/>
  <c r="P181" i="3"/>
  <c r="O181" i="3"/>
  <c r="R181" i="3" s="1"/>
  <c r="I181" i="3"/>
  <c r="Q180" i="3"/>
  <c r="P180" i="3"/>
  <c r="O180" i="3"/>
  <c r="R180" i="3" s="1"/>
  <c r="I180" i="3"/>
  <c r="Q179" i="3"/>
  <c r="P179" i="3"/>
  <c r="O179" i="3"/>
  <c r="R179" i="3" s="1"/>
  <c r="I179" i="3"/>
  <c r="Q178" i="3"/>
  <c r="P178" i="3"/>
  <c r="O178" i="3"/>
  <c r="R178" i="3" s="1"/>
  <c r="I178" i="3"/>
  <c r="Q177" i="3"/>
  <c r="P177" i="3"/>
  <c r="O177" i="3"/>
  <c r="R177" i="3" s="1"/>
  <c r="I177" i="3"/>
  <c r="Q176" i="3"/>
  <c r="P176" i="3"/>
  <c r="O176" i="3"/>
  <c r="I176" i="3"/>
  <c r="Q175" i="3"/>
  <c r="P175" i="3"/>
  <c r="O175" i="3"/>
  <c r="R175" i="3" s="1"/>
  <c r="I175" i="3"/>
  <c r="Q174" i="3"/>
  <c r="P174" i="3"/>
  <c r="O174" i="3"/>
  <c r="I174" i="3"/>
  <c r="Q173" i="3"/>
  <c r="P173" i="3"/>
  <c r="O173" i="3"/>
  <c r="R173" i="3" s="1"/>
  <c r="I173" i="3"/>
  <c r="Q172" i="3"/>
  <c r="P172" i="3"/>
  <c r="O172" i="3"/>
  <c r="I172" i="3"/>
  <c r="Q171" i="3"/>
  <c r="P171" i="3"/>
  <c r="O171" i="3"/>
  <c r="R171" i="3" s="1"/>
  <c r="I171" i="3"/>
  <c r="Q170" i="3"/>
  <c r="P170" i="3"/>
  <c r="O170" i="3"/>
  <c r="R170" i="3" s="1"/>
  <c r="I170" i="3"/>
  <c r="Q169" i="3"/>
  <c r="P169" i="3"/>
  <c r="O169" i="3"/>
  <c r="I169" i="3"/>
  <c r="Q168" i="3"/>
  <c r="P168" i="3"/>
  <c r="O168" i="3"/>
  <c r="R168" i="3" s="1"/>
  <c r="I168" i="3"/>
  <c r="Q167" i="3"/>
  <c r="P167" i="3"/>
  <c r="O167" i="3"/>
  <c r="I167" i="3"/>
  <c r="Q166" i="3"/>
  <c r="P166" i="3"/>
  <c r="O166" i="3"/>
  <c r="R166" i="3" s="1"/>
  <c r="I166" i="3"/>
  <c r="Q165" i="3"/>
  <c r="P165" i="3"/>
  <c r="O165" i="3"/>
  <c r="R165" i="3" s="1"/>
  <c r="I165" i="3"/>
  <c r="Q164" i="3"/>
  <c r="P164" i="3"/>
  <c r="O164" i="3"/>
  <c r="R164" i="3" s="1"/>
  <c r="I164" i="3"/>
  <c r="Q163" i="3"/>
  <c r="P163" i="3"/>
  <c r="O163" i="3"/>
  <c r="R163" i="3" s="1"/>
  <c r="I163" i="3"/>
  <c r="Q162" i="3"/>
  <c r="P162" i="3"/>
  <c r="O162" i="3"/>
  <c r="R162" i="3" s="1"/>
  <c r="I162" i="3"/>
  <c r="Q161" i="3"/>
  <c r="P161" i="3"/>
  <c r="O161" i="3"/>
  <c r="I161" i="3"/>
  <c r="Q160" i="3"/>
  <c r="P160" i="3"/>
  <c r="O160" i="3"/>
  <c r="R160" i="3" s="1"/>
  <c r="I160" i="3"/>
  <c r="Q159" i="3"/>
  <c r="P159" i="3"/>
  <c r="O159" i="3"/>
  <c r="I159" i="3"/>
  <c r="Q158" i="3"/>
  <c r="P158" i="3"/>
  <c r="O158" i="3"/>
  <c r="R158" i="3" s="1"/>
  <c r="I158" i="3"/>
  <c r="Q157" i="3"/>
  <c r="P157" i="3"/>
  <c r="O157" i="3"/>
  <c r="R157" i="3" s="1"/>
  <c r="I157" i="3"/>
  <c r="Q156" i="3"/>
  <c r="P156" i="3"/>
  <c r="O156" i="3"/>
  <c r="R156" i="3" s="1"/>
  <c r="I156" i="3"/>
  <c r="Q155" i="3"/>
  <c r="P155" i="3"/>
  <c r="O155" i="3"/>
  <c r="R155" i="3" s="1"/>
  <c r="I155" i="3"/>
  <c r="Q154" i="3"/>
  <c r="P154" i="3"/>
  <c r="O154" i="3"/>
  <c r="R154" i="3" s="1"/>
  <c r="I154" i="3"/>
  <c r="Q153" i="3"/>
  <c r="P153" i="3"/>
  <c r="O153" i="3"/>
  <c r="R153" i="3" s="1"/>
  <c r="I153" i="3"/>
  <c r="Q152" i="3"/>
  <c r="P152" i="3"/>
  <c r="O152" i="3"/>
  <c r="R152" i="3" s="1"/>
  <c r="I152" i="3"/>
  <c r="Q151" i="3"/>
  <c r="P151" i="3"/>
  <c r="O151" i="3"/>
  <c r="I151" i="3"/>
  <c r="Q150" i="3"/>
  <c r="P150" i="3"/>
  <c r="O150" i="3"/>
  <c r="I150" i="3"/>
  <c r="Q149" i="3"/>
  <c r="P149" i="3"/>
  <c r="O149" i="3"/>
  <c r="R149" i="3" s="1"/>
  <c r="I149" i="3"/>
  <c r="Q148" i="3"/>
  <c r="P148" i="3"/>
  <c r="O148" i="3"/>
  <c r="R148" i="3" s="1"/>
  <c r="I148" i="3"/>
  <c r="Q147" i="3"/>
  <c r="P147" i="3"/>
  <c r="O147" i="3"/>
  <c r="R147" i="3" s="1"/>
  <c r="I147" i="3"/>
  <c r="Q146" i="3"/>
  <c r="P146" i="3"/>
  <c r="O146" i="3"/>
  <c r="R146" i="3" s="1"/>
  <c r="I146" i="3"/>
  <c r="Q145" i="3"/>
  <c r="P145" i="3"/>
  <c r="O145" i="3"/>
  <c r="R145" i="3" s="1"/>
  <c r="I145" i="3"/>
  <c r="Q144" i="3"/>
  <c r="P144" i="3"/>
  <c r="O144" i="3"/>
  <c r="R144" i="3" s="1"/>
  <c r="I144" i="3"/>
  <c r="Q143" i="3"/>
  <c r="P143" i="3"/>
  <c r="O143" i="3"/>
  <c r="R143" i="3" s="1"/>
  <c r="I143" i="3"/>
  <c r="Q142" i="3"/>
  <c r="P142" i="3"/>
  <c r="O142" i="3"/>
  <c r="R142" i="3" s="1"/>
  <c r="I142" i="3"/>
  <c r="Q141" i="3"/>
  <c r="P141" i="3"/>
  <c r="O141" i="3"/>
  <c r="R141" i="3" s="1"/>
  <c r="I141" i="3"/>
  <c r="Q140" i="3"/>
  <c r="P140" i="3"/>
  <c r="O140" i="3"/>
  <c r="R140" i="3" s="1"/>
  <c r="I140" i="3"/>
  <c r="Q139" i="3"/>
  <c r="P139" i="3"/>
  <c r="O139" i="3"/>
  <c r="R139" i="3" s="1"/>
  <c r="I139" i="3"/>
  <c r="Q138" i="3"/>
  <c r="P138" i="3"/>
  <c r="O138" i="3"/>
  <c r="R138" i="3" s="1"/>
  <c r="I138" i="3"/>
  <c r="Q137" i="3"/>
  <c r="P137" i="3"/>
  <c r="O137" i="3"/>
  <c r="R137" i="3" s="1"/>
  <c r="I137" i="3"/>
  <c r="Q136" i="3"/>
  <c r="P136" i="3"/>
  <c r="O136" i="3"/>
  <c r="R136" i="3" s="1"/>
  <c r="I136" i="3"/>
  <c r="Q135" i="3"/>
  <c r="P135" i="3"/>
  <c r="O135" i="3"/>
  <c r="R135" i="3" s="1"/>
  <c r="I135" i="3"/>
  <c r="Q134" i="3"/>
  <c r="P134" i="3"/>
  <c r="O134" i="3"/>
  <c r="R134" i="3" s="1"/>
  <c r="I134" i="3"/>
  <c r="Q133" i="3"/>
  <c r="P133" i="3"/>
  <c r="O133" i="3"/>
  <c r="I133" i="3"/>
  <c r="Q132" i="3"/>
  <c r="P132" i="3"/>
  <c r="O132" i="3"/>
  <c r="I132" i="3"/>
  <c r="Q131" i="3"/>
  <c r="P131" i="3"/>
  <c r="O131" i="3"/>
  <c r="R131" i="3" s="1"/>
  <c r="I131" i="3"/>
  <c r="Q130" i="3"/>
  <c r="P130" i="3"/>
  <c r="O130" i="3"/>
  <c r="R130" i="3" s="1"/>
  <c r="I130" i="3"/>
  <c r="Q129" i="3"/>
  <c r="P129" i="3"/>
  <c r="O129" i="3"/>
  <c r="R129" i="3" s="1"/>
  <c r="I129" i="3"/>
  <c r="Q128" i="3"/>
  <c r="P128" i="3"/>
  <c r="O128" i="3"/>
  <c r="R128" i="3" s="1"/>
  <c r="I128" i="3"/>
  <c r="Q127" i="3"/>
  <c r="P127" i="3"/>
  <c r="O127" i="3"/>
  <c r="R127" i="3" s="1"/>
  <c r="I127" i="3"/>
  <c r="Q126" i="3"/>
  <c r="P126" i="3"/>
  <c r="O126" i="3"/>
  <c r="I126" i="3"/>
  <c r="Q125" i="3"/>
  <c r="P125" i="3"/>
  <c r="O125" i="3"/>
  <c r="R125" i="3" s="1"/>
  <c r="I125" i="3"/>
  <c r="Q124" i="3"/>
  <c r="P124" i="3"/>
  <c r="O124" i="3"/>
  <c r="R124" i="3" s="1"/>
  <c r="I124" i="3"/>
  <c r="Q123" i="3"/>
  <c r="P123" i="3"/>
  <c r="O123" i="3"/>
  <c r="I123" i="3"/>
  <c r="Q122" i="3"/>
  <c r="P122" i="3"/>
  <c r="O122" i="3"/>
  <c r="R122" i="3" s="1"/>
  <c r="I122" i="3"/>
  <c r="Q121" i="3"/>
  <c r="P121" i="3"/>
  <c r="O121" i="3"/>
  <c r="R121" i="3" s="1"/>
  <c r="I121" i="3"/>
  <c r="Q120" i="3"/>
  <c r="P120" i="3"/>
  <c r="O120" i="3"/>
  <c r="R120" i="3" s="1"/>
  <c r="I120" i="3"/>
  <c r="Q119" i="3"/>
  <c r="P119" i="3"/>
  <c r="O119" i="3"/>
  <c r="I119" i="3"/>
  <c r="Q118" i="3"/>
  <c r="P118" i="3"/>
  <c r="O118" i="3"/>
  <c r="I118" i="3"/>
  <c r="Q117" i="3"/>
  <c r="P117" i="3"/>
  <c r="O117" i="3"/>
  <c r="R117" i="3" s="1"/>
  <c r="I117" i="3"/>
  <c r="Q116" i="3"/>
  <c r="P116" i="3"/>
  <c r="O116" i="3"/>
  <c r="R116" i="3" s="1"/>
  <c r="I116" i="3"/>
  <c r="Q115" i="3"/>
  <c r="P115" i="3"/>
  <c r="O115" i="3"/>
  <c r="R115" i="3" s="1"/>
  <c r="I115" i="3"/>
  <c r="Q114" i="3"/>
  <c r="P114" i="3"/>
  <c r="O114" i="3"/>
  <c r="R114" i="3" s="1"/>
  <c r="I114" i="3"/>
  <c r="Q113" i="3"/>
  <c r="P113" i="3"/>
  <c r="O113" i="3"/>
  <c r="R113" i="3" s="1"/>
  <c r="I113" i="3"/>
  <c r="Q112" i="3"/>
  <c r="P112" i="3"/>
  <c r="O112" i="3"/>
  <c r="R112" i="3" s="1"/>
  <c r="I112" i="3"/>
  <c r="Q111" i="3"/>
  <c r="P111" i="3"/>
  <c r="O111" i="3"/>
  <c r="I111" i="3"/>
  <c r="Q110" i="3"/>
  <c r="P110" i="3"/>
  <c r="O110" i="3"/>
  <c r="R110" i="3" s="1"/>
  <c r="I110" i="3"/>
  <c r="Q109" i="3"/>
  <c r="P109" i="3"/>
  <c r="O109" i="3"/>
  <c r="R109" i="3" s="1"/>
  <c r="I109" i="3"/>
  <c r="Q108" i="3"/>
  <c r="P108" i="3"/>
  <c r="O108" i="3"/>
  <c r="R108" i="3" s="1"/>
  <c r="I108" i="3"/>
  <c r="Q107" i="3"/>
  <c r="P107" i="3"/>
  <c r="O107" i="3"/>
  <c r="I107" i="3"/>
  <c r="Q106" i="3"/>
  <c r="P106" i="3"/>
  <c r="O106" i="3"/>
  <c r="R106" i="3" s="1"/>
  <c r="I106" i="3"/>
  <c r="Q105" i="3"/>
  <c r="P105" i="3"/>
  <c r="O105" i="3"/>
  <c r="R105" i="3" s="1"/>
  <c r="I105" i="3"/>
  <c r="Q104" i="3"/>
  <c r="P104" i="3"/>
  <c r="O104" i="3"/>
  <c r="R104" i="3" s="1"/>
  <c r="I104" i="3"/>
  <c r="Q103" i="3"/>
  <c r="P103" i="3"/>
  <c r="O103" i="3"/>
  <c r="R103" i="3" s="1"/>
  <c r="I103" i="3"/>
  <c r="Q102" i="3"/>
  <c r="P102" i="3"/>
  <c r="O102" i="3"/>
  <c r="I102" i="3"/>
  <c r="Q101" i="3"/>
  <c r="P101" i="3"/>
  <c r="O101" i="3"/>
  <c r="R101" i="3" s="1"/>
  <c r="I101" i="3"/>
  <c r="Q100" i="3"/>
  <c r="P100" i="3"/>
  <c r="O100" i="3"/>
  <c r="R100" i="3" s="1"/>
  <c r="I100" i="3"/>
  <c r="Q99" i="3"/>
  <c r="P99" i="3"/>
  <c r="O99" i="3"/>
  <c r="R99" i="3" s="1"/>
  <c r="I99" i="3"/>
  <c r="Q98" i="3"/>
  <c r="P98" i="3"/>
  <c r="O98" i="3"/>
  <c r="R98" i="3" s="1"/>
  <c r="I98" i="3"/>
  <c r="Q97" i="3"/>
  <c r="P97" i="3"/>
  <c r="O97" i="3"/>
  <c r="R97" i="3" s="1"/>
  <c r="I97" i="3"/>
  <c r="Q96" i="3"/>
  <c r="P96" i="3"/>
  <c r="O96" i="3"/>
  <c r="R96" i="3" s="1"/>
  <c r="I96" i="3"/>
  <c r="Q95" i="3"/>
  <c r="P95" i="3"/>
  <c r="O95" i="3"/>
  <c r="R95" i="3" s="1"/>
  <c r="I95" i="3"/>
  <c r="Q94" i="3"/>
  <c r="P94" i="3"/>
  <c r="O94" i="3"/>
  <c r="R94" i="3" s="1"/>
  <c r="I94" i="3"/>
  <c r="Q93" i="3"/>
  <c r="P93" i="3"/>
  <c r="O93" i="3"/>
  <c r="I93" i="3"/>
  <c r="Q92" i="3"/>
  <c r="P92" i="3"/>
  <c r="O92" i="3"/>
  <c r="R92" i="3" s="1"/>
  <c r="I92" i="3"/>
  <c r="Q91" i="3"/>
  <c r="P91" i="3"/>
  <c r="O91" i="3"/>
  <c r="R91" i="3" s="1"/>
  <c r="I91" i="3"/>
  <c r="Q90" i="3"/>
  <c r="P90" i="3"/>
  <c r="O90" i="3"/>
  <c r="R90" i="3" s="1"/>
  <c r="I90" i="3"/>
  <c r="Q89" i="3"/>
  <c r="P89" i="3"/>
  <c r="O89" i="3"/>
  <c r="R89" i="3" s="1"/>
  <c r="I89" i="3"/>
  <c r="Q88" i="3"/>
  <c r="P88" i="3"/>
  <c r="O88" i="3"/>
  <c r="R88" i="3" s="1"/>
  <c r="I88" i="3"/>
  <c r="Q87" i="3"/>
  <c r="P87" i="3"/>
  <c r="O87" i="3"/>
  <c r="R87" i="3" s="1"/>
  <c r="I87" i="3"/>
  <c r="Q86" i="3"/>
  <c r="P86" i="3"/>
  <c r="O86" i="3"/>
  <c r="R86" i="3" s="1"/>
  <c r="I86" i="3"/>
  <c r="Q85" i="3"/>
  <c r="P85" i="3"/>
  <c r="O85" i="3"/>
  <c r="R85" i="3" s="1"/>
  <c r="I85" i="3"/>
  <c r="Q84" i="3"/>
  <c r="P84" i="3"/>
  <c r="O84" i="3"/>
  <c r="R84" i="3" s="1"/>
  <c r="I84" i="3"/>
  <c r="Q83" i="3"/>
  <c r="P83" i="3"/>
  <c r="O83" i="3"/>
  <c r="I83" i="3"/>
  <c r="Q82" i="3"/>
  <c r="P82" i="3"/>
  <c r="O82" i="3"/>
  <c r="R82" i="3" s="1"/>
  <c r="I82" i="3"/>
  <c r="Q81" i="3"/>
  <c r="P81" i="3"/>
  <c r="O81" i="3"/>
  <c r="R81" i="3" s="1"/>
  <c r="I81" i="3"/>
  <c r="Q80" i="3"/>
  <c r="P80" i="3"/>
  <c r="O80" i="3"/>
  <c r="I80" i="3"/>
  <c r="Q79" i="3"/>
  <c r="P79" i="3"/>
  <c r="O79" i="3"/>
  <c r="R79" i="3" s="1"/>
  <c r="I79" i="3"/>
  <c r="Q78" i="3"/>
  <c r="P78" i="3"/>
  <c r="O78" i="3"/>
  <c r="R78" i="3" s="1"/>
  <c r="I78" i="3"/>
  <c r="Q77" i="3"/>
  <c r="P77" i="3"/>
  <c r="O77" i="3"/>
  <c r="I77" i="3"/>
  <c r="Q76" i="3"/>
  <c r="P76" i="3"/>
  <c r="O76" i="3"/>
  <c r="R76" i="3" s="1"/>
  <c r="I76" i="3"/>
  <c r="Q75" i="3"/>
  <c r="P75" i="3"/>
  <c r="O75" i="3"/>
  <c r="R75" i="3" s="1"/>
  <c r="I75" i="3"/>
  <c r="Q74" i="3"/>
  <c r="P74" i="3"/>
  <c r="O74" i="3"/>
  <c r="R74" i="3" s="1"/>
  <c r="I74" i="3"/>
  <c r="Q73" i="3"/>
  <c r="P73" i="3"/>
  <c r="O73" i="3"/>
  <c r="I73" i="3"/>
  <c r="Q72" i="3"/>
  <c r="P72" i="3"/>
  <c r="O72" i="3"/>
  <c r="I72" i="3"/>
  <c r="Q71" i="3"/>
  <c r="P71" i="3"/>
  <c r="O71" i="3"/>
  <c r="R71" i="3" s="1"/>
  <c r="I71" i="3"/>
  <c r="Q70" i="3"/>
  <c r="P70" i="3"/>
  <c r="O70" i="3"/>
  <c r="R70" i="3" s="1"/>
  <c r="I70" i="3"/>
  <c r="Q69" i="3"/>
  <c r="P69" i="3"/>
  <c r="O69" i="3"/>
  <c r="R69" i="3" s="1"/>
  <c r="I69" i="3"/>
  <c r="Q68" i="3"/>
  <c r="P68" i="3"/>
  <c r="O68" i="3"/>
  <c r="R68" i="3" s="1"/>
  <c r="I68" i="3"/>
  <c r="Q67" i="3"/>
  <c r="P67" i="3"/>
  <c r="O67" i="3"/>
  <c r="I67" i="3"/>
  <c r="Q66" i="3"/>
  <c r="P66" i="3"/>
  <c r="O66" i="3"/>
  <c r="I66" i="3"/>
  <c r="Q65" i="3"/>
  <c r="P65" i="3"/>
  <c r="O65" i="3"/>
  <c r="R65" i="3" s="1"/>
  <c r="I65" i="3"/>
  <c r="Q64" i="3"/>
  <c r="P64" i="3"/>
  <c r="O64" i="3"/>
  <c r="I64" i="3"/>
  <c r="Q63" i="3"/>
  <c r="P63" i="3"/>
  <c r="O63" i="3"/>
  <c r="R63" i="3" s="1"/>
  <c r="I63" i="3"/>
  <c r="Q62" i="3"/>
  <c r="P62" i="3"/>
  <c r="O62" i="3"/>
  <c r="R62" i="3" s="1"/>
  <c r="I62" i="3"/>
  <c r="Q61" i="3"/>
  <c r="P61" i="3"/>
  <c r="O61" i="3"/>
  <c r="R61" i="3" s="1"/>
  <c r="I61" i="3"/>
  <c r="Q60" i="3"/>
  <c r="P60" i="3"/>
  <c r="O60" i="3"/>
  <c r="R60" i="3" s="1"/>
  <c r="I60" i="3"/>
  <c r="Q59" i="3"/>
  <c r="P59" i="3"/>
  <c r="O59" i="3"/>
  <c r="R59" i="3" s="1"/>
  <c r="I59" i="3"/>
  <c r="Q58" i="3"/>
  <c r="P58" i="3"/>
  <c r="O58" i="3"/>
  <c r="R58" i="3" s="1"/>
  <c r="I58" i="3"/>
  <c r="Q57" i="3"/>
  <c r="P57" i="3"/>
  <c r="O57" i="3"/>
  <c r="R57" i="3" s="1"/>
  <c r="I57" i="3"/>
  <c r="Q56" i="3"/>
  <c r="P56" i="3"/>
  <c r="O56" i="3"/>
  <c r="R56" i="3" s="1"/>
  <c r="I56" i="3"/>
  <c r="Q55" i="3"/>
  <c r="P55" i="3"/>
  <c r="O55" i="3"/>
  <c r="I55" i="3"/>
  <c r="Q54" i="3"/>
  <c r="P54" i="3"/>
  <c r="O54" i="3"/>
  <c r="R54" i="3" s="1"/>
  <c r="I54" i="3"/>
  <c r="Q53" i="3"/>
  <c r="P53" i="3"/>
  <c r="O53" i="3"/>
  <c r="R53" i="3" s="1"/>
  <c r="I53" i="3"/>
  <c r="Q52" i="3"/>
  <c r="P52" i="3"/>
  <c r="O52" i="3"/>
  <c r="R52" i="3" s="1"/>
  <c r="I52" i="3"/>
  <c r="Q51" i="3"/>
  <c r="P51" i="3"/>
  <c r="O51" i="3"/>
  <c r="I51" i="3"/>
  <c r="Q50" i="3"/>
  <c r="P50" i="3"/>
  <c r="O50" i="3"/>
  <c r="I50" i="3"/>
  <c r="Q49" i="3"/>
  <c r="P49" i="3"/>
  <c r="O49" i="3"/>
  <c r="I49" i="3"/>
  <c r="Q48" i="3"/>
  <c r="P48" i="3"/>
  <c r="O48" i="3"/>
  <c r="R48" i="3" s="1"/>
  <c r="I48" i="3"/>
  <c r="Q47" i="3"/>
  <c r="P47" i="3"/>
  <c r="O47" i="3"/>
  <c r="R47" i="3" s="1"/>
  <c r="I47" i="3"/>
  <c r="Q46" i="3"/>
  <c r="P46" i="3"/>
  <c r="O46" i="3"/>
  <c r="R46" i="3" s="1"/>
  <c r="I46" i="3"/>
  <c r="Q45" i="3"/>
  <c r="P45" i="3"/>
  <c r="O45" i="3"/>
  <c r="R45" i="3" s="1"/>
  <c r="I45" i="3"/>
  <c r="Q44" i="3"/>
  <c r="P44" i="3"/>
  <c r="O44" i="3"/>
  <c r="R44" i="3" s="1"/>
  <c r="I44" i="3"/>
  <c r="Q43" i="3"/>
  <c r="P43" i="3"/>
  <c r="O43" i="3"/>
  <c r="I43" i="3"/>
  <c r="Q42" i="3"/>
  <c r="P42" i="3"/>
  <c r="O42" i="3"/>
  <c r="R42" i="3" s="1"/>
  <c r="I42" i="3"/>
  <c r="Q41" i="3"/>
  <c r="P41" i="3"/>
  <c r="O41" i="3"/>
  <c r="R41" i="3" s="1"/>
  <c r="I41" i="3"/>
  <c r="Q40" i="3"/>
  <c r="P40" i="3"/>
  <c r="O40" i="3"/>
  <c r="R40" i="3" s="1"/>
  <c r="I40" i="3"/>
  <c r="Q39" i="3"/>
  <c r="P39" i="3"/>
  <c r="O39" i="3"/>
  <c r="I39" i="3"/>
  <c r="Q38" i="3"/>
  <c r="P38" i="3"/>
  <c r="O38" i="3"/>
  <c r="R38" i="3" s="1"/>
  <c r="I38" i="3"/>
  <c r="Q37" i="3"/>
  <c r="P37" i="3"/>
  <c r="O37" i="3"/>
  <c r="I37" i="3"/>
  <c r="Q36" i="3"/>
  <c r="P36" i="3"/>
  <c r="O36" i="3"/>
  <c r="R36" i="3" s="1"/>
  <c r="I36" i="3"/>
  <c r="Q35" i="3"/>
  <c r="P35" i="3"/>
  <c r="O35" i="3"/>
  <c r="R35" i="3" s="1"/>
  <c r="I35" i="3"/>
  <c r="Q34" i="3"/>
  <c r="P34" i="3"/>
  <c r="O34" i="3"/>
  <c r="R34" i="3" s="1"/>
  <c r="I34" i="3"/>
  <c r="Q33" i="3"/>
  <c r="P33" i="3"/>
  <c r="O33" i="3"/>
  <c r="R33" i="3" s="1"/>
  <c r="I33" i="3"/>
  <c r="Q32" i="3"/>
  <c r="P32" i="3"/>
  <c r="O32" i="3"/>
  <c r="R32" i="3" s="1"/>
  <c r="I32" i="3"/>
  <c r="Q31" i="3"/>
  <c r="P31" i="3"/>
  <c r="O31" i="3"/>
  <c r="R31" i="3" s="1"/>
  <c r="I31" i="3"/>
  <c r="Q30" i="3"/>
  <c r="P30" i="3"/>
  <c r="O30" i="3"/>
  <c r="R30" i="3" s="1"/>
  <c r="I30" i="3"/>
  <c r="Q29" i="3"/>
  <c r="P29" i="3"/>
  <c r="O29" i="3"/>
  <c r="I29" i="3"/>
  <c r="Q28" i="3"/>
  <c r="P28" i="3"/>
  <c r="O28" i="3"/>
  <c r="R28" i="3" s="1"/>
  <c r="I28" i="3"/>
  <c r="Q27" i="3"/>
  <c r="P27" i="3"/>
  <c r="O27" i="3"/>
  <c r="R27" i="3" s="1"/>
  <c r="I27" i="3"/>
  <c r="Q26" i="3"/>
  <c r="P26" i="3"/>
  <c r="O26" i="3"/>
  <c r="R26" i="3" s="1"/>
  <c r="I26" i="3"/>
  <c r="Q25" i="3"/>
  <c r="P25" i="3"/>
  <c r="O25" i="3"/>
  <c r="R25" i="3" s="1"/>
  <c r="I25" i="3"/>
  <c r="Q24" i="3"/>
  <c r="P24" i="3"/>
  <c r="O24" i="3"/>
  <c r="R24" i="3" s="1"/>
  <c r="I24" i="3"/>
  <c r="Q23" i="3"/>
  <c r="P23" i="3"/>
  <c r="O23" i="3"/>
  <c r="R23" i="3" s="1"/>
  <c r="I23" i="3"/>
  <c r="Q22" i="3"/>
  <c r="P22" i="3"/>
  <c r="O22" i="3"/>
  <c r="R22" i="3" s="1"/>
  <c r="I22" i="3"/>
  <c r="Q21" i="3"/>
  <c r="P21" i="3"/>
  <c r="O21" i="3"/>
  <c r="R21" i="3" s="1"/>
  <c r="I21" i="3"/>
  <c r="Q20" i="3"/>
  <c r="P20" i="3"/>
  <c r="O20" i="3"/>
  <c r="R20" i="3" s="1"/>
  <c r="I20" i="3"/>
  <c r="Q19" i="3"/>
  <c r="P19" i="3"/>
  <c r="O19" i="3"/>
  <c r="R19" i="3" s="1"/>
  <c r="I19" i="3"/>
  <c r="Q18" i="3"/>
  <c r="P18" i="3"/>
  <c r="O18" i="3"/>
  <c r="R18" i="3" s="1"/>
  <c r="I18" i="3"/>
  <c r="Q17" i="3"/>
  <c r="P17" i="3"/>
  <c r="O17" i="3"/>
  <c r="R17" i="3" s="1"/>
  <c r="I17" i="3"/>
  <c r="Q16" i="3"/>
  <c r="P16" i="3"/>
  <c r="O16" i="3"/>
  <c r="I16" i="3"/>
  <c r="Q15" i="3"/>
  <c r="P15" i="3"/>
  <c r="O15" i="3"/>
  <c r="R15" i="3" s="1"/>
  <c r="I15" i="3"/>
  <c r="Q14" i="3"/>
  <c r="P14" i="3"/>
  <c r="O14" i="3"/>
  <c r="I14" i="3"/>
  <c r="Q13" i="3"/>
  <c r="P13" i="3"/>
  <c r="O13" i="3"/>
  <c r="R13" i="3" s="1"/>
  <c r="I13" i="3"/>
  <c r="Q12" i="3"/>
  <c r="P12" i="3"/>
  <c r="O12" i="3"/>
  <c r="R12" i="3" s="1"/>
  <c r="I12" i="3"/>
  <c r="Q11" i="3"/>
  <c r="P11" i="3"/>
  <c r="O11" i="3"/>
  <c r="I11" i="3"/>
  <c r="Q10" i="3"/>
  <c r="P10" i="3"/>
  <c r="O10" i="3"/>
  <c r="I10" i="3"/>
  <c r="Q9" i="3"/>
  <c r="P9" i="3"/>
  <c r="O9" i="3"/>
  <c r="I9" i="3"/>
  <c r="Q8" i="3"/>
  <c r="P8" i="3"/>
  <c r="O8" i="3"/>
  <c r="R8" i="3" s="1"/>
  <c r="I8" i="3"/>
  <c r="Q7" i="3"/>
  <c r="P7" i="3"/>
  <c r="O7" i="3"/>
  <c r="R7" i="3" s="1"/>
  <c r="I7" i="3"/>
  <c r="Q6" i="3"/>
  <c r="P6" i="3"/>
  <c r="O6" i="3"/>
  <c r="R6" i="3" s="1"/>
  <c r="I6" i="3"/>
  <c r="Q5" i="3"/>
  <c r="P5" i="3"/>
  <c r="O5" i="3"/>
  <c r="R5" i="3" s="1"/>
  <c r="I5" i="3"/>
  <c r="I3" i="3" s="1"/>
  <c r="Q469" i="2"/>
  <c r="P469" i="2"/>
  <c r="O469" i="2"/>
  <c r="R469" i="2" s="1"/>
  <c r="I469" i="2"/>
  <c r="Q468" i="2"/>
  <c r="P468" i="2"/>
  <c r="O468" i="2"/>
  <c r="R468" i="2" s="1"/>
  <c r="I468" i="2"/>
  <c r="Q467" i="2"/>
  <c r="P467" i="2"/>
  <c r="O467" i="2"/>
  <c r="I467" i="2"/>
  <c r="Q466" i="2"/>
  <c r="P466" i="2"/>
  <c r="O466" i="2"/>
  <c r="I466" i="2"/>
  <c r="Q465" i="2"/>
  <c r="P465" i="2"/>
  <c r="O465" i="2"/>
  <c r="R465" i="2" s="1"/>
  <c r="I465" i="2"/>
  <c r="Q464" i="2"/>
  <c r="P464" i="2"/>
  <c r="O464" i="2"/>
  <c r="R464" i="2" s="1"/>
  <c r="I464" i="2"/>
  <c r="Q463" i="2"/>
  <c r="P463" i="2"/>
  <c r="O463" i="2"/>
  <c r="I463" i="2"/>
  <c r="Q462" i="2"/>
  <c r="P462" i="2"/>
  <c r="O462" i="2"/>
  <c r="R462" i="2" s="1"/>
  <c r="I462" i="2"/>
  <c r="Q461" i="2"/>
  <c r="P461" i="2"/>
  <c r="O461" i="2"/>
  <c r="R461" i="2" s="1"/>
  <c r="I461" i="2"/>
  <c r="Q460" i="2"/>
  <c r="P460" i="2"/>
  <c r="O460" i="2"/>
  <c r="R460" i="2" s="1"/>
  <c r="I460" i="2"/>
  <c r="Q459" i="2"/>
  <c r="P459" i="2"/>
  <c r="O459" i="2"/>
  <c r="I459" i="2"/>
  <c r="Q458" i="2"/>
  <c r="P458" i="2"/>
  <c r="O458" i="2"/>
  <c r="I458" i="2"/>
  <c r="Q457" i="2"/>
  <c r="P457" i="2"/>
  <c r="O457" i="2"/>
  <c r="R457" i="2" s="1"/>
  <c r="I457" i="2"/>
  <c r="Q456" i="2"/>
  <c r="P456" i="2"/>
  <c r="O456" i="2"/>
  <c r="R456" i="2" s="1"/>
  <c r="I456" i="2"/>
  <c r="Q455" i="2"/>
  <c r="P455" i="2"/>
  <c r="O455" i="2"/>
  <c r="R455" i="2" s="1"/>
  <c r="I455" i="2"/>
  <c r="Q454" i="2"/>
  <c r="P454" i="2"/>
  <c r="O454" i="2"/>
  <c r="I454" i="2"/>
  <c r="Q453" i="2"/>
  <c r="P453" i="2"/>
  <c r="O453" i="2"/>
  <c r="I453" i="2"/>
  <c r="Q452" i="2"/>
  <c r="P452" i="2"/>
  <c r="O452" i="2"/>
  <c r="I452" i="2"/>
  <c r="Q451" i="2"/>
  <c r="P451" i="2"/>
  <c r="O451" i="2"/>
  <c r="R451" i="2" s="1"/>
  <c r="I451" i="2"/>
  <c r="J451" i="2" s="1"/>
  <c r="Q450" i="2"/>
  <c r="P450" i="2"/>
  <c r="O450" i="2"/>
  <c r="R450" i="2" s="1"/>
  <c r="I450" i="2"/>
  <c r="J450" i="2" s="1"/>
  <c r="Q449" i="2"/>
  <c r="P449" i="2"/>
  <c r="O449" i="2"/>
  <c r="I449" i="2"/>
  <c r="J449" i="2" s="1"/>
  <c r="Q448" i="2"/>
  <c r="P448" i="2"/>
  <c r="O448" i="2"/>
  <c r="R448" i="2" s="1"/>
  <c r="I448" i="2"/>
  <c r="J448" i="2" s="1"/>
  <c r="Q447" i="2"/>
  <c r="P447" i="2"/>
  <c r="O447" i="2"/>
  <c r="I447" i="2"/>
  <c r="J447" i="2" s="1"/>
  <c r="Q446" i="2"/>
  <c r="P446" i="2"/>
  <c r="O446" i="2"/>
  <c r="R446" i="2" s="1"/>
  <c r="I446" i="2"/>
  <c r="J446" i="2" s="1"/>
  <c r="Q445" i="2"/>
  <c r="P445" i="2"/>
  <c r="O445" i="2"/>
  <c r="R445" i="2" s="1"/>
  <c r="I445" i="2"/>
  <c r="J445" i="2" s="1"/>
  <c r="Q444" i="2"/>
  <c r="P444" i="2"/>
  <c r="O444" i="2"/>
  <c r="I444" i="2"/>
  <c r="J444" i="2" s="1"/>
  <c r="Q443" i="2"/>
  <c r="P443" i="2"/>
  <c r="O443" i="2"/>
  <c r="R443" i="2" s="1"/>
  <c r="I443" i="2"/>
  <c r="J443" i="2" s="1"/>
  <c r="Q442" i="2"/>
  <c r="P442" i="2"/>
  <c r="O442" i="2"/>
  <c r="R442" i="2" s="1"/>
  <c r="I442" i="2"/>
  <c r="J442" i="2" s="1"/>
  <c r="Q441" i="2"/>
  <c r="P441" i="2"/>
  <c r="O441" i="2"/>
  <c r="R441" i="2" s="1"/>
  <c r="I441" i="2"/>
  <c r="J441" i="2" s="1"/>
  <c r="Q440" i="2"/>
  <c r="P440" i="2"/>
  <c r="O440" i="2"/>
  <c r="R440" i="2" s="1"/>
  <c r="I440" i="2"/>
  <c r="J440" i="2" s="1"/>
  <c r="Q439" i="2"/>
  <c r="P439" i="2"/>
  <c r="O439" i="2"/>
  <c r="R439" i="2" s="1"/>
  <c r="I439" i="2"/>
  <c r="J439" i="2" s="1"/>
  <c r="Q438" i="2"/>
  <c r="P438" i="2"/>
  <c r="O438" i="2"/>
  <c r="I438" i="2"/>
  <c r="J438" i="2" s="1"/>
  <c r="Q437" i="2"/>
  <c r="P437" i="2"/>
  <c r="O437" i="2"/>
  <c r="R437" i="2" s="1"/>
  <c r="I437" i="2"/>
  <c r="J437" i="2" s="1"/>
  <c r="Q436" i="2"/>
  <c r="P436" i="2"/>
  <c r="O436" i="2"/>
  <c r="I436" i="2"/>
  <c r="J436" i="2" s="1"/>
  <c r="Q435" i="2"/>
  <c r="P435" i="2"/>
  <c r="O435" i="2"/>
  <c r="R435" i="2" s="1"/>
  <c r="I435" i="2"/>
  <c r="J435" i="2" s="1"/>
  <c r="Q434" i="2"/>
  <c r="P434" i="2"/>
  <c r="O434" i="2"/>
  <c r="R434" i="2" s="1"/>
  <c r="I434" i="2"/>
  <c r="J434" i="2" s="1"/>
  <c r="Q433" i="2"/>
  <c r="P433" i="2"/>
  <c r="O433" i="2"/>
  <c r="R433" i="2" s="1"/>
  <c r="I433" i="2"/>
  <c r="J433" i="2" s="1"/>
  <c r="Q432" i="2"/>
  <c r="P432" i="2"/>
  <c r="O432" i="2"/>
  <c r="R432" i="2" s="1"/>
  <c r="I432" i="2"/>
  <c r="J432" i="2" s="1"/>
  <c r="Q431" i="2"/>
  <c r="P431" i="2"/>
  <c r="O431" i="2"/>
  <c r="I431" i="2"/>
  <c r="J431" i="2" s="1"/>
  <c r="Q430" i="2"/>
  <c r="P430" i="2"/>
  <c r="O430" i="2"/>
  <c r="R430" i="2" s="1"/>
  <c r="I430" i="2"/>
  <c r="J430" i="2" s="1"/>
  <c r="Q429" i="2"/>
  <c r="P429" i="2"/>
  <c r="O429" i="2"/>
  <c r="I429" i="2"/>
  <c r="J429" i="2" s="1"/>
  <c r="Q428" i="2"/>
  <c r="P428" i="2"/>
  <c r="O428" i="2"/>
  <c r="R428" i="2" s="1"/>
  <c r="I428" i="2"/>
  <c r="J428" i="2" s="1"/>
  <c r="Q427" i="2"/>
  <c r="P427" i="2"/>
  <c r="O427" i="2"/>
  <c r="I427" i="2"/>
  <c r="J427" i="2" s="1"/>
  <c r="Q426" i="2"/>
  <c r="P426" i="2"/>
  <c r="O426" i="2"/>
  <c r="R426" i="2" s="1"/>
  <c r="I426" i="2"/>
  <c r="J426" i="2" s="1"/>
  <c r="Q425" i="2"/>
  <c r="P425" i="2"/>
  <c r="O425" i="2"/>
  <c r="R425" i="2" s="1"/>
  <c r="I425" i="2"/>
  <c r="J425" i="2" s="1"/>
  <c r="Q424" i="2"/>
  <c r="P424" i="2"/>
  <c r="O424" i="2"/>
  <c r="R424" i="2" s="1"/>
  <c r="I424" i="2"/>
  <c r="J424" i="2" s="1"/>
  <c r="Q423" i="2"/>
  <c r="P423" i="2"/>
  <c r="O423" i="2"/>
  <c r="R423" i="2" s="1"/>
  <c r="I423" i="2"/>
  <c r="J423" i="2" s="1"/>
  <c r="Q422" i="2"/>
  <c r="P422" i="2"/>
  <c r="O422" i="2"/>
  <c r="R422" i="2" s="1"/>
  <c r="I422" i="2"/>
  <c r="J422" i="2" s="1"/>
  <c r="Q421" i="2"/>
  <c r="P421" i="2"/>
  <c r="O421" i="2"/>
  <c r="R421" i="2" s="1"/>
  <c r="I421" i="2"/>
  <c r="J421" i="2" s="1"/>
  <c r="Q420" i="2"/>
  <c r="P420" i="2"/>
  <c r="O420" i="2"/>
  <c r="R420" i="2" s="1"/>
  <c r="I420" i="2"/>
  <c r="J420" i="2" s="1"/>
  <c r="Q419" i="2"/>
  <c r="P419" i="2"/>
  <c r="O419" i="2"/>
  <c r="R419" i="2" s="1"/>
  <c r="I419" i="2"/>
  <c r="J419" i="2" s="1"/>
  <c r="Q418" i="2"/>
  <c r="P418" i="2"/>
  <c r="O418" i="2"/>
  <c r="R418" i="2" s="1"/>
  <c r="I418" i="2"/>
  <c r="J418" i="2" s="1"/>
  <c r="Q417" i="2"/>
  <c r="P417" i="2"/>
  <c r="O417" i="2"/>
  <c r="I417" i="2"/>
  <c r="J417" i="2" s="1"/>
  <c r="Q416" i="2"/>
  <c r="P416" i="2"/>
  <c r="O416" i="2"/>
  <c r="I416" i="2"/>
  <c r="J416" i="2" s="1"/>
  <c r="Q415" i="2"/>
  <c r="P415" i="2"/>
  <c r="O415" i="2"/>
  <c r="R415" i="2" s="1"/>
  <c r="I415" i="2"/>
  <c r="J415" i="2" s="1"/>
  <c r="Q414" i="2"/>
  <c r="P414" i="2"/>
  <c r="O414" i="2"/>
  <c r="R414" i="2" s="1"/>
  <c r="I414" i="2"/>
  <c r="J414" i="2" s="1"/>
  <c r="Q413" i="2"/>
  <c r="P413" i="2"/>
  <c r="O413" i="2"/>
  <c r="R413" i="2" s="1"/>
  <c r="I413" i="2"/>
  <c r="J413" i="2" s="1"/>
  <c r="Q412" i="2"/>
  <c r="P412" i="2"/>
  <c r="O412" i="2"/>
  <c r="I412" i="2"/>
  <c r="J412" i="2" s="1"/>
  <c r="Q411" i="2"/>
  <c r="P411" i="2"/>
  <c r="O411" i="2"/>
  <c r="R411" i="2" s="1"/>
  <c r="I411" i="2"/>
  <c r="J411" i="2" s="1"/>
  <c r="Q410" i="2"/>
  <c r="P410" i="2"/>
  <c r="O410" i="2"/>
  <c r="R410" i="2" s="1"/>
  <c r="I410" i="2"/>
  <c r="J410" i="2" s="1"/>
  <c r="Q409" i="2"/>
  <c r="P409" i="2"/>
  <c r="O409" i="2"/>
  <c r="R409" i="2" s="1"/>
  <c r="I409" i="2"/>
  <c r="J409" i="2" s="1"/>
  <c r="Q408" i="2"/>
  <c r="P408" i="2"/>
  <c r="O408" i="2"/>
  <c r="R408" i="2" s="1"/>
  <c r="I408" i="2"/>
  <c r="J408" i="2" s="1"/>
  <c r="Q407" i="2"/>
  <c r="P407" i="2"/>
  <c r="O407" i="2"/>
  <c r="R407" i="2" s="1"/>
  <c r="I407" i="2"/>
  <c r="J407" i="2" s="1"/>
  <c r="Q406" i="2"/>
  <c r="P406" i="2"/>
  <c r="O406" i="2"/>
  <c r="I406" i="2"/>
  <c r="J406" i="2" s="1"/>
  <c r="Q405" i="2"/>
  <c r="P405" i="2"/>
  <c r="O405" i="2"/>
  <c r="R405" i="2" s="1"/>
  <c r="I405" i="2"/>
  <c r="J405" i="2" s="1"/>
  <c r="Q404" i="2"/>
  <c r="P404" i="2"/>
  <c r="O404" i="2"/>
  <c r="I404" i="2"/>
  <c r="J404" i="2" s="1"/>
  <c r="Q403" i="2"/>
  <c r="P403" i="2"/>
  <c r="O403" i="2"/>
  <c r="R403" i="2" s="1"/>
  <c r="I403" i="2"/>
  <c r="J403" i="2" s="1"/>
  <c r="Q402" i="2"/>
  <c r="P402" i="2"/>
  <c r="O402" i="2"/>
  <c r="I402" i="2"/>
  <c r="J402" i="2" s="1"/>
  <c r="Q401" i="2"/>
  <c r="P401" i="2"/>
  <c r="O401" i="2"/>
  <c r="R401" i="2" s="1"/>
  <c r="I401" i="2"/>
  <c r="J401" i="2" s="1"/>
  <c r="Q400" i="2"/>
  <c r="P400" i="2"/>
  <c r="O400" i="2"/>
  <c r="I400" i="2"/>
  <c r="J400" i="2" s="1"/>
  <c r="Q399" i="2"/>
  <c r="P399" i="2"/>
  <c r="O399" i="2"/>
  <c r="R399" i="2" s="1"/>
  <c r="I399" i="2"/>
  <c r="J399" i="2" s="1"/>
  <c r="Q398" i="2"/>
  <c r="P398" i="2"/>
  <c r="O398" i="2"/>
  <c r="I398" i="2"/>
  <c r="J398" i="2" s="1"/>
  <c r="Q397" i="2"/>
  <c r="P397" i="2"/>
  <c r="O397" i="2"/>
  <c r="R397" i="2" s="1"/>
  <c r="I397" i="2"/>
  <c r="J397" i="2" s="1"/>
  <c r="Q396" i="2"/>
  <c r="P396" i="2"/>
  <c r="O396" i="2"/>
  <c r="R396" i="2" s="1"/>
  <c r="I396" i="2"/>
  <c r="J396" i="2" s="1"/>
  <c r="Q395" i="2"/>
  <c r="P395" i="2"/>
  <c r="O395" i="2"/>
  <c r="R395" i="2" s="1"/>
  <c r="I395" i="2"/>
  <c r="J395" i="2" s="1"/>
  <c r="Q394" i="2"/>
  <c r="P394" i="2"/>
  <c r="O394" i="2"/>
  <c r="I394" i="2"/>
  <c r="J394" i="2" s="1"/>
  <c r="Q393" i="2"/>
  <c r="P393" i="2"/>
  <c r="O393" i="2"/>
  <c r="R393" i="2" s="1"/>
  <c r="I393" i="2"/>
  <c r="J393" i="2" s="1"/>
  <c r="Q392" i="2"/>
  <c r="P392" i="2"/>
  <c r="O392" i="2"/>
  <c r="I392" i="2"/>
  <c r="J392" i="2" s="1"/>
  <c r="Q391" i="2"/>
  <c r="P391" i="2"/>
  <c r="O391" i="2"/>
  <c r="R391" i="2" s="1"/>
  <c r="I391" i="2"/>
  <c r="J391" i="2" s="1"/>
  <c r="Q390" i="2"/>
  <c r="P390" i="2"/>
  <c r="O390" i="2"/>
  <c r="I390" i="2"/>
  <c r="J390" i="2" s="1"/>
  <c r="Q389" i="2"/>
  <c r="P389" i="2"/>
  <c r="O389" i="2"/>
  <c r="R389" i="2" s="1"/>
  <c r="I389" i="2"/>
  <c r="J389" i="2" s="1"/>
  <c r="Q388" i="2"/>
  <c r="P388" i="2"/>
  <c r="O388" i="2"/>
  <c r="I388" i="2"/>
  <c r="J388" i="2" s="1"/>
  <c r="Q387" i="2"/>
  <c r="P387" i="2"/>
  <c r="O387" i="2"/>
  <c r="R387" i="2" s="1"/>
  <c r="I387" i="2"/>
  <c r="J387" i="2" s="1"/>
  <c r="Q386" i="2"/>
  <c r="P386" i="2"/>
  <c r="O386" i="2"/>
  <c r="R386" i="2" s="1"/>
  <c r="I386" i="2"/>
  <c r="J386" i="2" s="1"/>
  <c r="Q385" i="2"/>
  <c r="P385" i="2"/>
  <c r="O385" i="2"/>
  <c r="I385" i="2"/>
  <c r="J385" i="2" s="1"/>
  <c r="Q384" i="2"/>
  <c r="P384" i="2"/>
  <c r="O384" i="2"/>
  <c r="R384" i="2" s="1"/>
  <c r="I384" i="2"/>
  <c r="J384" i="2" s="1"/>
  <c r="Q383" i="2"/>
  <c r="P383" i="2"/>
  <c r="O383" i="2"/>
  <c r="I383" i="2"/>
  <c r="J383" i="2" s="1"/>
  <c r="Q382" i="2"/>
  <c r="P382" i="2"/>
  <c r="O382" i="2"/>
  <c r="I382" i="2"/>
  <c r="J382" i="2" s="1"/>
  <c r="Q381" i="2"/>
  <c r="P381" i="2"/>
  <c r="O381" i="2"/>
  <c r="I381" i="2"/>
  <c r="J381" i="2" s="1"/>
  <c r="Q380" i="2"/>
  <c r="P380" i="2"/>
  <c r="O380" i="2"/>
  <c r="R380" i="2" s="1"/>
  <c r="I380" i="2"/>
  <c r="J380" i="2" s="1"/>
  <c r="Q379" i="2"/>
  <c r="P379" i="2"/>
  <c r="O379" i="2"/>
  <c r="I379" i="2"/>
  <c r="J379" i="2" s="1"/>
  <c r="Q378" i="2"/>
  <c r="P378" i="2"/>
  <c r="O378" i="2"/>
  <c r="R378" i="2" s="1"/>
  <c r="I378" i="2"/>
  <c r="J378" i="2" s="1"/>
  <c r="Q377" i="2"/>
  <c r="P377" i="2"/>
  <c r="O377" i="2"/>
  <c r="R377" i="2" s="1"/>
  <c r="I377" i="2"/>
  <c r="J377" i="2" s="1"/>
  <c r="Q376" i="2"/>
  <c r="P376" i="2"/>
  <c r="O376" i="2"/>
  <c r="R376" i="2" s="1"/>
  <c r="I376" i="2"/>
  <c r="J376" i="2" s="1"/>
  <c r="Q375" i="2"/>
  <c r="P375" i="2"/>
  <c r="O375" i="2"/>
  <c r="I375" i="2"/>
  <c r="J375" i="2" s="1"/>
  <c r="Q374" i="2"/>
  <c r="P374" i="2"/>
  <c r="O374" i="2"/>
  <c r="I374" i="2"/>
  <c r="J374" i="2" s="1"/>
  <c r="Q373" i="2"/>
  <c r="P373" i="2"/>
  <c r="O373" i="2"/>
  <c r="R373" i="2" s="1"/>
  <c r="I373" i="2"/>
  <c r="J373" i="2" s="1"/>
  <c r="Q372" i="2"/>
  <c r="P372" i="2"/>
  <c r="O372" i="2"/>
  <c r="R372" i="2" s="1"/>
  <c r="I372" i="2"/>
  <c r="J372" i="2" s="1"/>
  <c r="Q371" i="2"/>
  <c r="P371" i="2"/>
  <c r="O371" i="2"/>
  <c r="I371" i="2"/>
  <c r="J371" i="2" s="1"/>
  <c r="Q370" i="2"/>
  <c r="P370" i="2"/>
  <c r="O370" i="2"/>
  <c r="R370" i="2" s="1"/>
  <c r="I370" i="2"/>
  <c r="J370" i="2" s="1"/>
  <c r="Q369" i="2"/>
  <c r="P369" i="2"/>
  <c r="O369" i="2"/>
  <c r="I369" i="2"/>
  <c r="J369" i="2" s="1"/>
  <c r="Q368" i="2"/>
  <c r="P368" i="2"/>
  <c r="O368" i="2"/>
  <c r="R368" i="2" s="1"/>
  <c r="I368" i="2"/>
  <c r="J368" i="2" s="1"/>
  <c r="Q367" i="2"/>
  <c r="P367" i="2"/>
  <c r="O367" i="2"/>
  <c r="R367" i="2" s="1"/>
  <c r="I367" i="2"/>
  <c r="J367" i="2" s="1"/>
  <c r="Q366" i="2"/>
  <c r="P366" i="2"/>
  <c r="O366" i="2"/>
  <c r="I366" i="2"/>
  <c r="J366" i="2" s="1"/>
  <c r="Q365" i="2"/>
  <c r="P365" i="2"/>
  <c r="O365" i="2"/>
  <c r="R365" i="2" s="1"/>
  <c r="I365" i="2"/>
  <c r="J365" i="2" s="1"/>
  <c r="Q364" i="2"/>
  <c r="P364" i="2"/>
  <c r="O364" i="2"/>
  <c r="I364" i="2"/>
  <c r="J364" i="2" s="1"/>
  <c r="Q363" i="2"/>
  <c r="P363" i="2"/>
  <c r="O363" i="2"/>
  <c r="R363" i="2" s="1"/>
  <c r="I363" i="2"/>
  <c r="J363" i="2" s="1"/>
  <c r="Q362" i="2"/>
  <c r="P362" i="2"/>
  <c r="O362" i="2"/>
  <c r="I362" i="2"/>
  <c r="J362" i="2" s="1"/>
  <c r="Q361" i="2"/>
  <c r="P361" i="2"/>
  <c r="O361" i="2"/>
  <c r="R361" i="2" s="1"/>
  <c r="I361" i="2"/>
  <c r="J361" i="2" s="1"/>
  <c r="Q360" i="2"/>
  <c r="P360" i="2"/>
  <c r="O360" i="2"/>
  <c r="R360" i="2" s="1"/>
  <c r="I360" i="2"/>
  <c r="J360" i="2" s="1"/>
  <c r="Q359" i="2"/>
  <c r="P359" i="2"/>
  <c r="O359" i="2"/>
  <c r="R359" i="2" s="1"/>
  <c r="I359" i="2"/>
  <c r="J359" i="2" s="1"/>
  <c r="Q358" i="2"/>
  <c r="P358" i="2"/>
  <c r="O358" i="2"/>
  <c r="I358" i="2"/>
  <c r="J358" i="2" s="1"/>
  <c r="Q357" i="2"/>
  <c r="P357" i="2"/>
  <c r="O357" i="2"/>
  <c r="R357" i="2" s="1"/>
  <c r="I357" i="2"/>
  <c r="J357" i="2" s="1"/>
  <c r="Q356" i="2"/>
  <c r="P356" i="2"/>
  <c r="O356" i="2"/>
  <c r="I356" i="2"/>
  <c r="J356" i="2" s="1"/>
  <c r="Q355" i="2"/>
  <c r="P355" i="2"/>
  <c r="O355" i="2"/>
  <c r="R355" i="2" s="1"/>
  <c r="I355" i="2"/>
  <c r="J355" i="2" s="1"/>
  <c r="Q354" i="2"/>
  <c r="P354" i="2"/>
  <c r="O354" i="2"/>
  <c r="R354" i="2" s="1"/>
  <c r="I354" i="2"/>
  <c r="J354" i="2" s="1"/>
  <c r="Q353" i="2"/>
  <c r="P353" i="2"/>
  <c r="O353" i="2"/>
  <c r="R353" i="2" s="1"/>
  <c r="I353" i="2"/>
  <c r="J353" i="2" s="1"/>
  <c r="Q352" i="2"/>
  <c r="P352" i="2"/>
  <c r="O352" i="2"/>
  <c r="R352" i="2" s="1"/>
  <c r="I352" i="2"/>
  <c r="J352" i="2" s="1"/>
  <c r="Q351" i="2"/>
  <c r="P351" i="2"/>
  <c r="O351" i="2"/>
  <c r="I351" i="2"/>
  <c r="J351" i="2" s="1"/>
  <c r="Q350" i="2"/>
  <c r="P350" i="2"/>
  <c r="O350" i="2"/>
  <c r="R350" i="2" s="1"/>
  <c r="I350" i="2"/>
  <c r="J350" i="2" s="1"/>
  <c r="Q349" i="2"/>
  <c r="P349" i="2"/>
  <c r="O349" i="2"/>
  <c r="R349" i="2" s="1"/>
  <c r="I349" i="2"/>
  <c r="J349" i="2" s="1"/>
  <c r="Q348" i="2"/>
  <c r="P348" i="2"/>
  <c r="O348" i="2"/>
  <c r="I348" i="2"/>
  <c r="J348" i="2" s="1"/>
  <c r="Q347" i="2"/>
  <c r="P347" i="2"/>
  <c r="O347" i="2"/>
  <c r="R347" i="2" s="1"/>
  <c r="I347" i="2"/>
  <c r="J347" i="2" s="1"/>
  <c r="Q346" i="2"/>
  <c r="P346" i="2"/>
  <c r="O346" i="2"/>
  <c r="I346" i="2"/>
  <c r="J346" i="2" s="1"/>
  <c r="Q345" i="2"/>
  <c r="P345" i="2"/>
  <c r="O345" i="2"/>
  <c r="R345" i="2" s="1"/>
  <c r="I345" i="2"/>
  <c r="J345" i="2" s="1"/>
  <c r="Q344" i="2"/>
  <c r="P344" i="2"/>
  <c r="O344" i="2"/>
  <c r="R344" i="2" s="1"/>
  <c r="I344" i="2"/>
  <c r="J344" i="2" s="1"/>
  <c r="Q343" i="2"/>
  <c r="P343" i="2"/>
  <c r="O343" i="2"/>
  <c r="R343" i="2" s="1"/>
  <c r="I343" i="2"/>
  <c r="J343" i="2" s="1"/>
  <c r="Q342" i="2"/>
  <c r="P342" i="2"/>
  <c r="O342" i="2"/>
  <c r="R342" i="2" s="1"/>
  <c r="I342" i="2"/>
  <c r="J342" i="2" s="1"/>
  <c r="Q341" i="2"/>
  <c r="P341" i="2"/>
  <c r="O341" i="2"/>
  <c r="I341" i="2"/>
  <c r="J341" i="2" s="1"/>
  <c r="Q340" i="2"/>
  <c r="P340" i="2"/>
  <c r="O340" i="2"/>
  <c r="R340" i="2" s="1"/>
  <c r="I340" i="2"/>
  <c r="J340" i="2" s="1"/>
  <c r="Q339" i="2"/>
  <c r="P339" i="2"/>
  <c r="O339" i="2"/>
  <c r="R339" i="2" s="1"/>
  <c r="I339" i="2"/>
  <c r="J339" i="2" s="1"/>
  <c r="Q338" i="2"/>
  <c r="P338" i="2"/>
  <c r="O338" i="2"/>
  <c r="I338" i="2"/>
  <c r="J338" i="2" s="1"/>
  <c r="Q337" i="2"/>
  <c r="P337" i="2"/>
  <c r="O337" i="2"/>
  <c r="R337" i="2" s="1"/>
  <c r="I337" i="2"/>
  <c r="J337" i="2" s="1"/>
  <c r="Q336" i="2"/>
  <c r="P336" i="2"/>
  <c r="O336" i="2"/>
  <c r="R336" i="2" s="1"/>
  <c r="I336" i="2"/>
  <c r="J336" i="2" s="1"/>
  <c r="Q335" i="2"/>
  <c r="P335" i="2"/>
  <c r="O335" i="2"/>
  <c r="I335" i="2"/>
  <c r="J335" i="2" s="1"/>
  <c r="Q334" i="2"/>
  <c r="P334" i="2"/>
  <c r="O334" i="2"/>
  <c r="R334" i="2" s="1"/>
  <c r="I334" i="2"/>
  <c r="J334" i="2" s="1"/>
  <c r="Q333" i="2"/>
  <c r="P333" i="2"/>
  <c r="O333" i="2"/>
  <c r="I333" i="2"/>
  <c r="J333" i="2" s="1"/>
  <c r="Q332" i="2"/>
  <c r="P332" i="2"/>
  <c r="O332" i="2"/>
  <c r="R332" i="2" s="1"/>
  <c r="I332" i="2"/>
  <c r="J332" i="2" s="1"/>
  <c r="Q331" i="2"/>
  <c r="P331" i="2"/>
  <c r="O331" i="2"/>
  <c r="R331" i="2" s="1"/>
  <c r="I331" i="2"/>
  <c r="J331" i="2" s="1"/>
  <c r="Q330" i="2"/>
  <c r="P330" i="2"/>
  <c r="O330" i="2"/>
  <c r="R330" i="2" s="1"/>
  <c r="I330" i="2"/>
  <c r="J330" i="2" s="1"/>
  <c r="Q329" i="2"/>
  <c r="P329" i="2"/>
  <c r="O329" i="2"/>
  <c r="R329" i="2" s="1"/>
  <c r="I329" i="2"/>
  <c r="J329" i="2" s="1"/>
  <c r="Q328" i="2"/>
  <c r="P328" i="2"/>
  <c r="O328" i="2"/>
  <c r="R328" i="2" s="1"/>
  <c r="I328" i="2"/>
  <c r="J328" i="2" s="1"/>
  <c r="Q327" i="2"/>
  <c r="P327" i="2"/>
  <c r="O327" i="2"/>
  <c r="R327" i="2" s="1"/>
  <c r="I327" i="2"/>
  <c r="J327" i="2" s="1"/>
  <c r="Q326" i="2"/>
  <c r="P326" i="2"/>
  <c r="O326" i="2"/>
  <c r="I326" i="2"/>
  <c r="J326" i="2" s="1"/>
  <c r="Q325" i="2"/>
  <c r="P325" i="2"/>
  <c r="O325" i="2"/>
  <c r="R325" i="2" s="1"/>
  <c r="I325" i="2"/>
  <c r="J325" i="2" s="1"/>
  <c r="Q324" i="2"/>
  <c r="P324" i="2"/>
  <c r="O324" i="2"/>
  <c r="R324" i="2" s="1"/>
  <c r="I324" i="2"/>
  <c r="J324" i="2" s="1"/>
  <c r="Q323" i="2"/>
  <c r="P323" i="2"/>
  <c r="O323" i="2"/>
  <c r="I323" i="2"/>
  <c r="J323" i="2" s="1"/>
  <c r="Q322" i="2"/>
  <c r="P322" i="2"/>
  <c r="O322" i="2"/>
  <c r="I322" i="2"/>
  <c r="J322" i="2" s="1"/>
  <c r="Q321" i="2"/>
  <c r="P321" i="2"/>
  <c r="O321" i="2"/>
  <c r="R321" i="2" s="1"/>
  <c r="I321" i="2"/>
  <c r="J321" i="2" s="1"/>
  <c r="Q320" i="2"/>
  <c r="P320" i="2"/>
  <c r="O320" i="2"/>
  <c r="R320" i="2" s="1"/>
  <c r="I320" i="2"/>
  <c r="J320" i="2" s="1"/>
  <c r="Q319" i="2"/>
  <c r="P319" i="2"/>
  <c r="O319" i="2"/>
  <c r="I319" i="2"/>
  <c r="J319" i="2" s="1"/>
  <c r="Q318" i="2"/>
  <c r="P318" i="2"/>
  <c r="O318" i="2"/>
  <c r="R318" i="2" s="1"/>
  <c r="I318" i="2"/>
  <c r="J318" i="2" s="1"/>
  <c r="Q317" i="2"/>
  <c r="P317" i="2"/>
  <c r="O317" i="2"/>
  <c r="R317" i="2" s="1"/>
  <c r="I317" i="2"/>
  <c r="J317" i="2" s="1"/>
  <c r="Q316" i="2"/>
  <c r="P316" i="2"/>
  <c r="O316" i="2"/>
  <c r="R316" i="2" s="1"/>
  <c r="I316" i="2"/>
  <c r="J316" i="2" s="1"/>
  <c r="Q315" i="2"/>
  <c r="P315" i="2"/>
  <c r="O315" i="2"/>
  <c r="R315" i="2" s="1"/>
  <c r="I315" i="2"/>
  <c r="J315" i="2" s="1"/>
  <c r="Q314" i="2"/>
  <c r="P314" i="2"/>
  <c r="O314" i="2"/>
  <c r="I314" i="2"/>
  <c r="J314" i="2" s="1"/>
  <c r="Q313" i="2"/>
  <c r="P313" i="2"/>
  <c r="O313" i="2"/>
  <c r="R313" i="2" s="1"/>
  <c r="I313" i="2"/>
  <c r="J313" i="2" s="1"/>
  <c r="Q312" i="2"/>
  <c r="P312" i="2"/>
  <c r="O312" i="2"/>
  <c r="I312" i="2"/>
  <c r="J312" i="2" s="1"/>
  <c r="Q311" i="2"/>
  <c r="P311" i="2"/>
  <c r="O311" i="2"/>
  <c r="R311" i="2" s="1"/>
  <c r="I311" i="2"/>
  <c r="J311" i="2" s="1"/>
  <c r="Q310" i="2"/>
  <c r="P310" i="2"/>
  <c r="O310" i="2"/>
  <c r="I310" i="2"/>
  <c r="J310" i="2" s="1"/>
  <c r="Q309" i="2"/>
  <c r="P309" i="2"/>
  <c r="O309" i="2"/>
  <c r="R309" i="2" s="1"/>
  <c r="I309" i="2"/>
  <c r="J309" i="2" s="1"/>
  <c r="Q308" i="2"/>
  <c r="P308" i="2"/>
  <c r="O308" i="2"/>
  <c r="R308" i="2" s="1"/>
  <c r="I308" i="2"/>
  <c r="J308" i="2" s="1"/>
  <c r="Q307" i="2"/>
  <c r="P307" i="2"/>
  <c r="O307" i="2"/>
  <c r="R307" i="2" s="1"/>
  <c r="I307" i="2"/>
  <c r="J307" i="2" s="1"/>
  <c r="Q306" i="2"/>
  <c r="P306" i="2"/>
  <c r="O306" i="2"/>
  <c r="R306" i="2" s="1"/>
  <c r="I306" i="2"/>
  <c r="J306" i="2" s="1"/>
  <c r="Q305" i="2"/>
  <c r="P305" i="2"/>
  <c r="O305" i="2"/>
  <c r="I305" i="2"/>
  <c r="J305" i="2" s="1"/>
  <c r="Q304" i="2"/>
  <c r="P304" i="2"/>
  <c r="O304" i="2"/>
  <c r="I304" i="2"/>
  <c r="J304" i="2" s="1"/>
  <c r="Q303" i="2"/>
  <c r="P303" i="2"/>
  <c r="O303" i="2"/>
  <c r="R303" i="2" s="1"/>
  <c r="I303" i="2"/>
  <c r="J303" i="2" s="1"/>
  <c r="Q302" i="2"/>
  <c r="P302" i="2"/>
  <c r="O302" i="2"/>
  <c r="R302" i="2" s="1"/>
  <c r="I302" i="2"/>
  <c r="J302" i="2" s="1"/>
  <c r="Q301" i="2"/>
  <c r="P301" i="2"/>
  <c r="O301" i="2"/>
  <c r="R301" i="2" s="1"/>
  <c r="I301" i="2"/>
  <c r="J301" i="2" s="1"/>
  <c r="Q300" i="2"/>
  <c r="P300" i="2"/>
  <c r="O300" i="2"/>
  <c r="I300" i="2"/>
  <c r="J300" i="2" s="1"/>
  <c r="Q299" i="2"/>
  <c r="P299" i="2"/>
  <c r="O299" i="2"/>
  <c r="R299" i="2" s="1"/>
  <c r="I299" i="2"/>
  <c r="J299" i="2" s="1"/>
  <c r="Q298" i="2"/>
  <c r="P298" i="2"/>
  <c r="O298" i="2"/>
  <c r="R298" i="2" s="1"/>
  <c r="I298" i="2"/>
  <c r="J298" i="2" s="1"/>
  <c r="Q297" i="2"/>
  <c r="P297" i="2"/>
  <c r="O297" i="2"/>
  <c r="R297" i="2" s="1"/>
  <c r="I297" i="2"/>
  <c r="J297" i="2" s="1"/>
  <c r="Q296" i="2"/>
  <c r="P296" i="2"/>
  <c r="O296" i="2"/>
  <c r="R296" i="2" s="1"/>
  <c r="I296" i="2"/>
  <c r="J296" i="2" s="1"/>
  <c r="Q295" i="2"/>
  <c r="P295" i="2"/>
  <c r="O295" i="2"/>
  <c r="R295" i="2" s="1"/>
  <c r="I295" i="2"/>
  <c r="J295" i="2" s="1"/>
  <c r="Q294" i="2"/>
  <c r="P294" i="2"/>
  <c r="O294" i="2"/>
  <c r="R294" i="2" s="1"/>
  <c r="I294" i="2"/>
  <c r="J294" i="2" s="1"/>
  <c r="Q293" i="2"/>
  <c r="P293" i="2"/>
  <c r="O293" i="2"/>
  <c r="R293" i="2" s="1"/>
  <c r="I293" i="2"/>
  <c r="J293" i="2" s="1"/>
  <c r="Q292" i="2"/>
  <c r="P292" i="2"/>
  <c r="O292" i="2"/>
  <c r="I292" i="2"/>
  <c r="J292" i="2" s="1"/>
  <c r="Q291" i="2"/>
  <c r="P291" i="2"/>
  <c r="O291" i="2"/>
  <c r="R291" i="2" s="1"/>
  <c r="I291" i="2"/>
  <c r="J291" i="2" s="1"/>
  <c r="Q290" i="2"/>
  <c r="P290" i="2"/>
  <c r="O290" i="2"/>
  <c r="R290" i="2" s="1"/>
  <c r="I290" i="2"/>
  <c r="J290" i="2" s="1"/>
  <c r="Q289" i="2"/>
  <c r="P289" i="2"/>
  <c r="O289" i="2"/>
  <c r="R289" i="2" s="1"/>
  <c r="I289" i="2"/>
  <c r="J289" i="2" s="1"/>
  <c r="Q288" i="2"/>
  <c r="P288" i="2"/>
  <c r="O288" i="2"/>
  <c r="R288" i="2" s="1"/>
  <c r="I288" i="2"/>
  <c r="J288" i="2" s="1"/>
  <c r="Q287" i="2"/>
  <c r="P287" i="2"/>
  <c r="O287" i="2"/>
  <c r="R287" i="2" s="1"/>
  <c r="I287" i="2"/>
  <c r="J287" i="2" s="1"/>
  <c r="Q286" i="2"/>
  <c r="P286" i="2"/>
  <c r="O286" i="2"/>
  <c r="R286" i="2" s="1"/>
  <c r="I286" i="2"/>
  <c r="J286" i="2" s="1"/>
  <c r="Q285" i="2"/>
  <c r="P285" i="2"/>
  <c r="O285" i="2"/>
  <c r="R285" i="2" s="1"/>
  <c r="I285" i="2"/>
  <c r="J285" i="2" s="1"/>
  <c r="Q284" i="2"/>
  <c r="P284" i="2"/>
  <c r="O284" i="2"/>
  <c r="R284" i="2" s="1"/>
  <c r="I284" i="2"/>
  <c r="J284" i="2" s="1"/>
  <c r="Q283" i="2"/>
  <c r="P283" i="2"/>
  <c r="O283" i="2"/>
  <c r="I283" i="2"/>
  <c r="J283" i="2" s="1"/>
  <c r="Q282" i="2"/>
  <c r="P282" i="2"/>
  <c r="O282" i="2"/>
  <c r="R282" i="2" s="1"/>
  <c r="I282" i="2"/>
  <c r="J282" i="2" s="1"/>
  <c r="Q281" i="2"/>
  <c r="P281" i="2"/>
  <c r="O281" i="2"/>
  <c r="I281" i="2"/>
  <c r="J281" i="2" s="1"/>
  <c r="Q280" i="2"/>
  <c r="P280" i="2"/>
  <c r="O280" i="2"/>
  <c r="R280" i="2" s="1"/>
  <c r="I280" i="2"/>
  <c r="J280" i="2" s="1"/>
  <c r="Q279" i="2"/>
  <c r="P279" i="2"/>
  <c r="O279" i="2"/>
  <c r="R279" i="2" s="1"/>
  <c r="I279" i="2"/>
  <c r="J279" i="2" s="1"/>
  <c r="Q278" i="2"/>
  <c r="P278" i="2"/>
  <c r="O278" i="2"/>
  <c r="R278" i="2" s="1"/>
  <c r="I278" i="2"/>
  <c r="J278" i="2" s="1"/>
  <c r="Q277" i="2"/>
  <c r="P277" i="2"/>
  <c r="O277" i="2"/>
  <c r="R277" i="2" s="1"/>
  <c r="I277" i="2"/>
  <c r="J277" i="2" s="1"/>
  <c r="Q276" i="2"/>
  <c r="P276" i="2"/>
  <c r="O276" i="2"/>
  <c r="I276" i="2"/>
  <c r="J276" i="2" s="1"/>
  <c r="Q275" i="2"/>
  <c r="P275" i="2"/>
  <c r="O275" i="2"/>
  <c r="R275" i="2" s="1"/>
  <c r="I275" i="2"/>
  <c r="J275" i="2" s="1"/>
  <c r="Q274" i="2"/>
  <c r="P274" i="2"/>
  <c r="O274" i="2"/>
  <c r="R274" i="2" s="1"/>
  <c r="I274" i="2"/>
  <c r="J274" i="2" s="1"/>
  <c r="Q273" i="2"/>
  <c r="P273" i="2"/>
  <c r="O273" i="2"/>
  <c r="R273" i="2" s="1"/>
  <c r="I273" i="2"/>
  <c r="J273" i="2" s="1"/>
  <c r="Q272" i="2"/>
  <c r="P272" i="2"/>
  <c r="O272" i="2"/>
  <c r="I272" i="2"/>
  <c r="J272" i="2" s="1"/>
  <c r="Q271" i="2"/>
  <c r="P271" i="2"/>
  <c r="O271" i="2"/>
  <c r="R271" i="2" s="1"/>
  <c r="I271" i="2"/>
  <c r="J271" i="2" s="1"/>
  <c r="Q270" i="2"/>
  <c r="P270" i="2"/>
  <c r="O270" i="2"/>
  <c r="R270" i="2" s="1"/>
  <c r="I270" i="2"/>
  <c r="J270" i="2" s="1"/>
  <c r="Q269" i="2"/>
  <c r="P269" i="2"/>
  <c r="O269" i="2"/>
  <c r="R269" i="2" s="1"/>
  <c r="I269" i="2"/>
  <c r="J269" i="2" s="1"/>
  <c r="Q268" i="2"/>
  <c r="P268" i="2"/>
  <c r="O268" i="2"/>
  <c r="I268" i="2"/>
  <c r="J268" i="2" s="1"/>
  <c r="Q267" i="2"/>
  <c r="P267" i="2"/>
  <c r="O267" i="2"/>
  <c r="R267" i="2" s="1"/>
  <c r="I267" i="2"/>
  <c r="J267" i="2" s="1"/>
  <c r="Q266" i="2"/>
  <c r="P266" i="2"/>
  <c r="O266" i="2"/>
  <c r="R266" i="2" s="1"/>
  <c r="I266" i="2"/>
  <c r="J266" i="2" s="1"/>
  <c r="Q265" i="2"/>
  <c r="P265" i="2"/>
  <c r="O265" i="2"/>
  <c r="R265" i="2" s="1"/>
  <c r="I265" i="2"/>
  <c r="J265" i="2" s="1"/>
  <c r="Q264" i="2"/>
  <c r="P264" i="2"/>
  <c r="O264" i="2"/>
  <c r="R264" i="2" s="1"/>
  <c r="I264" i="2"/>
  <c r="J264" i="2" s="1"/>
  <c r="Q263" i="2"/>
  <c r="P263" i="2"/>
  <c r="O263" i="2"/>
  <c r="R263" i="2" s="1"/>
  <c r="I263" i="2"/>
  <c r="J263" i="2" s="1"/>
  <c r="Q262" i="2"/>
  <c r="P262" i="2"/>
  <c r="O262" i="2"/>
  <c r="R262" i="2" s="1"/>
  <c r="I262" i="2"/>
  <c r="J262" i="2" s="1"/>
  <c r="Q261" i="2"/>
  <c r="P261" i="2"/>
  <c r="O261" i="2"/>
  <c r="R261" i="2" s="1"/>
  <c r="I261" i="2"/>
  <c r="J261" i="2" s="1"/>
  <c r="Q260" i="2"/>
  <c r="P260" i="2"/>
  <c r="O260" i="2"/>
  <c r="R260" i="2" s="1"/>
  <c r="I260" i="2"/>
  <c r="J260" i="2" s="1"/>
  <c r="Q259" i="2"/>
  <c r="P259" i="2"/>
  <c r="O259" i="2"/>
  <c r="I259" i="2"/>
  <c r="J259" i="2" s="1"/>
  <c r="Q258" i="2"/>
  <c r="P258" i="2"/>
  <c r="O258" i="2"/>
  <c r="R258" i="2" s="1"/>
  <c r="I258" i="2"/>
  <c r="J258" i="2" s="1"/>
  <c r="Q257" i="2"/>
  <c r="P257" i="2"/>
  <c r="O257" i="2"/>
  <c r="R257" i="2" s="1"/>
  <c r="I257" i="2"/>
  <c r="J257" i="2" s="1"/>
  <c r="Q256" i="2"/>
  <c r="P256" i="2"/>
  <c r="O256" i="2"/>
  <c r="I256" i="2"/>
  <c r="J256" i="2" s="1"/>
  <c r="Q255" i="2"/>
  <c r="P255" i="2"/>
  <c r="O255" i="2"/>
  <c r="R255" i="2" s="1"/>
  <c r="I255" i="2"/>
  <c r="J255" i="2" s="1"/>
  <c r="Q254" i="2"/>
  <c r="P254" i="2"/>
  <c r="O254" i="2"/>
  <c r="I254" i="2"/>
  <c r="J254" i="2" s="1"/>
  <c r="Q253" i="2"/>
  <c r="P253" i="2"/>
  <c r="O253" i="2"/>
  <c r="R253" i="2" s="1"/>
  <c r="I253" i="2"/>
  <c r="J253" i="2" s="1"/>
  <c r="Q252" i="2"/>
  <c r="P252" i="2"/>
  <c r="O252" i="2"/>
  <c r="I252" i="2"/>
  <c r="J252" i="2" s="1"/>
  <c r="Q251" i="2"/>
  <c r="P251" i="2"/>
  <c r="O251" i="2"/>
  <c r="R251" i="2" s="1"/>
  <c r="I251" i="2"/>
  <c r="J251" i="2" s="1"/>
  <c r="Q250" i="2"/>
  <c r="P250" i="2"/>
  <c r="O250" i="2"/>
  <c r="I250" i="2"/>
  <c r="J250" i="2" s="1"/>
  <c r="Q249" i="2"/>
  <c r="P249" i="2"/>
  <c r="O249" i="2"/>
  <c r="R249" i="2" s="1"/>
  <c r="I249" i="2"/>
  <c r="J249" i="2" s="1"/>
  <c r="Q248" i="2"/>
  <c r="P248" i="2"/>
  <c r="O248" i="2"/>
  <c r="I248" i="2"/>
  <c r="J248" i="2" s="1"/>
  <c r="Q247" i="2"/>
  <c r="P247" i="2"/>
  <c r="O247" i="2"/>
  <c r="I247" i="2"/>
  <c r="J247" i="2" s="1"/>
  <c r="Q246" i="2"/>
  <c r="P246" i="2"/>
  <c r="O246" i="2"/>
  <c r="I246" i="2"/>
  <c r="J246" i="2" s="1"/>
  <c r="Q245" i="2"/>
  <c r="P245" i="2"/>
  <c r="O245" i="2"/>
  <c r="R245" i="2" s="1"/>
  <c r="I245" i="2"/>
  <c r="J245" i="2" s="1"/>
  <c r="Q244" i="2"/>
  <c r="P244" i="2"/>
  <c r="O244" i="2"/>
  <c r="I244" i="2"/>
  <c r="J244" i="2" s="1"/>
  <c r="Q243" i="2"/>
  <c r="P243" i="2"/>
  <c r="O243" i="2"/>
  <c r="R243" i="2" s="1"/>
  <c r="I243" i="2"/>
  <c r="J243" i="2" s="1"/>
  <c r="Q242" i="2"/>
  <c r="P242" i="2"/>
  <c r="O242" i="2"/>
  <c r="R242" i="2" s="1"/>
  <c r="I242" i="2"/>
  <c r="J242" i="2" s="1"/>
  <c r="Q241" i="2"/>
  <c r="P241" i="2"/>
  <c r="O241" i="2"/>
  <c r="R241" i="2" s="1"/>
  <c r="I241" i="2"/>
  <c r="J241" i="2" s="1"/>
  <c r="Q240" i="2"/>
  <c r="P240" i="2"/>
  <c r="O240" i="2"/>
  <c r="R240" i="2" s="1"/>
  <c r="I240" i="2"/>
  <c r="J240" i="2" s="1"/>
  <c r="Q239" i="2"/>
  <c r="P239" i="2"/>
  <c r="O239" i="2"/>
  <c r="R239" i="2" s="1"/>
  <c r="I239" i="2"/>
  <c r="J239" i="2" s="1"/>
  <c r="Q238" i="2"/>
  <c r="P238" i="2"/>
  <c r="O238" i="2"/>
  <c r="R238" i="2" s="1"/>
  <c r="I238" i="2"/>
  <c r="J238" i="2" s="1"/>
  <c r="Q237" i="2"/>
  <c r="P237" i="2"/>
  <c r="O237" i="2"/>
  <c r="I237" i="2"/>
  <c r="J237" i="2" s="1"/>
  <c r="Q236" i="2"/>
  <c r="P236" i="2"/>
  <c r="O236" i="2"/>
  <c r="R236" i="2" s="1"/>
  <c r="I236" i="2"/>
  <c r="J236" i="2" s="1"/>
  <c r="Q235" i="2"/>
  <c r="P235" i="2"/>
  <c r="O235" i="2"/>
  <c r="I235" i="2"/>
  <c r="J235" i="2" s="1"/>
  <c r="Q234" i="2"/>
  <c r="P234" i="2"/>
  <c r="O234" i="2"/>
  <c r="R234" i="2" s="1"/>
  <c r="I234" i="2"/>
  <c r="J234" i="2" s="1"/>
  <c r="Q233" i="2"/>
  <c r="P233" i="2"/>
  <c r="O233" i="2"/>
  <c r="I233" i="2"/>
  <c r="J233" i="2" s="1"/>
  <c r="Q232" i="2"/>
  <c r="P232" i="2"/>
  <c r="O232" i="2"/>
  <c r="R232" i="2" s="1"/>
  <c r="I232" i="2"/>
  <c r="J232" i="2" s="1"/>
  <c r="Q231" i="2"/>
  <c r="P231" i="2"/>
  <c r="O231" i="2"/>
  <c r="R231" i="2" s="1"/>
  <c r="I231" i="2"/>
  <c r="J231" i="2" s="1"/>
  <c r="Q230" i="2"/>
  <c r="P230" i="2"/>
  <c r="O230" i="2"/>
  <c r="I230" i="2"/>
  <c r="J230" i="2" s="1"/>
  <c r="Q229" i="2"/>
  <c r="P229" i="2"/>
  <c r="O229" i="2"/>
  <c r="R229" i="2" s="1"/>
  <c r="I229" i="2"/>
  <c r="J229" i="2" s="1"/>
  <c r="Q228" i="2"/>
  <c r="P228" i="2"/>
  <c r="O228" i="2"/>
  <c r="I228" i="2"/>
  <c r="J228" i="2" s="1"/>
  <c r="Q227" i="2"/>
  <c r="P227" i="2"/>
  <c r="O227" i="2"/>
  <c r="R227" i="2" s="1"/>
  <c r="I227" i="2"/>
  <c r="J227" i="2" s="1"/>
  <c r="Q226" i="2"/>
  <c r="P226" i="2"/>
  <c r="O226" i="2"/>
  <c r="R226" i="2" s="1"/>
  <c r="I226" i="2"/>
  <c r="J226" i="2" s="1"/>
  <c r="Q225" i="2"/>
  <c r="P225" i="2"/>
  <c r="O225" i="2"/>
  <c r="I225" i="2"/>
  <c r="J225" i="2" s="1"/>
  <c r="Q224" i="2"/>
  <c r="P224" i="2"/>
  <c r="O224" i="2"/>
  <c r="R224" i="2" s="1"/>
  <c r="I224" i="2"/>
  <c r="J224" i="2" s="1"/>
  <c r="Q223" i="2"/>
  <c r="P223" i="2"/>
  <c r="O223" i="2"/>
  <c r="R223" i="2" s="1"/>
  <c r="I223" i="2"/>
  <c r="J223" i="2" s="1"/>
  <c r="Q222" i="2"/>
  <c r="P222" i="2"/>
  <c r="O222" i="2"/>
  <c r="R222" i="2" s="1"/>
  <c r="I222" i="2"/>
  <c r="J222" i="2" s="1"/>
  <c r="Q221" i="2"/>
  <c r="P221" i="2"/>
  <c r="O221" i="2"/>
  <c r="R221" i="2" s="1"/>
  <c r="I221" i="2"/>
  <c r="J221" i="2" s="1"/>
  <c r="Q220" i="2"/>
  <c r="P220" i="2"/>
  <c r="O220" i="2"/>
  <c r="R220" i="2" s="1"/>
  <c r="I220" i="2"/>
  <c r="J220" i="2" s="1"/>
  <c r="Q219" i="2"/>
  <c r="P219" i="2"/>
  <c r="O219" i="2"/>
  <c r="I219" i="2"/>
  <c r="J219" i="2" s="1"/>
  <c r="Q218" i="2"/>
  <c r="P218" i="2"/>
  <c r="O218" i="2"/>
  <c r="R218" i="2" s="1"/>
  <c r="I218" i="2"/>
  <c r="J218" i="2" s="1"/>
  <c r="Q217" i="2"/>
  <c r="P217" i="2"/>
  <c r="O217" i="2"/>
  <c r="I217" i="2"/>
  <c r="J217" i="2" s="1"/>
  <c r="Q216" i="2"/>
  <c r="P216" i="2"/>
  <c r="O216" i="2"/>
  <c r="R216" i="2" s="1"/>
  <c r="I216" i="2"/>
  <c r="J216" i="2" s="1"/>
  <c r="Q215" i="2"/>
  <c r="P215" i="2"/>
  <c r="O215" i="2"/>
  <c r="R215" i="2" s="1"/>
  <c r="I215" i="2"/>
  <c r="J215" i="2" s="1"/>
  <c r="Q214" i="2"/>
  <c r="P214" i="2"/>
  <c r="O214" i="2"/>
  <c r="R214" i="2" s="1"/>
  <c r="I214" i="2"/>
  <c r="J214" i="2" s="1"/>
  <c r="Q213" i="2"/>
  <c r="P213" i="2"/>
  <c r="O213" i="2"/>
  <c r="R213" i="2" s="1"/>
  <c r="I213" i="2"/>
  <c r="J213" i="2" s="1"/>
  <c r="Q212" i="2"/>
  <c r="P212" i="2"/>
  <c r="O212" i="2"/>
  <c r="I212" i="2"/>
  <c r="J212" i="2" s="1"/>
  <c r="Q211" i="2"/>
  <c r="P211" i="2"/>
  <c r="O211" i="2"/>
  <c r="R211" i="2" s="1"/>
  <c r="I211" i="2"/>
  <c r="J211" i="2" s="1"/>
  <c r="Q210" i="2"/>
  <c r="P210" i="2"/>
  <c r="O210" i="2"/>
  <c r="R210" i="2" s="1"/>
  <c r="I210" i="2"/>
  <c r="J210" i="2" s="1"/>
  <c r="Q209" i="2"/>
  <c r="P209" i="2"/>
  <c r="O209" i="2"/>
  <c r="I209" i="2"/>
  <c r="J209" i="2" s="1"/>
  <c r="Q208" i="2"/>
  <c r="P208" i="2"/>
  <c r="O208" i="2"/>
  <c r="I208" i="2"/>
  <c r="J208" i="2" s="1"/>
  <c r="Q207" i="2"/>
  <c r="P207" i="2"/>
  <c r="O207" i="2"/>
  <c r="I207" i="2"/>
  <c r="J207" i="2" s="1"/>
  <c r="Q206" i="2"/>
  <c r="P206" i="2"/>
  <c r="O206" i="2"/>
  <c r="R206" i="2" s="1"/>
  <c r="I206" i="2"/>
  <c r="J206" i="2" s="1"/>
  <c r="Q205" i="2"/>
  <c r="P205" i="2"/>
  <c r="O205" i="2"/>
  <c r="I205" i="2"/>
  <c r="J205" i="2" s="1"/>
  <c r="Q204" i="2"/>
  <c r="P204" i="2"/>
  <c r="O204" i="2"/>
  <c r="R204" i="2" s="1"/>
  <c r="I204" i="2"/>
  <c r="J204" i="2" s="1"/>
  <c r="Q203" i="2"/>
  <c r="P203" i="2"/>
  <c r="O203" i="2"/>
  <c r="I203" i="2"/>
  <c r="J203" i="2" s="1"/>
  <c r="Q202" i="2"/>
  <c r="P202" i="2"/>
  <c r="O202" i="2"/>
  <c r="R202" i="2" s="1"/>
  <c r="I202" i="2"/>
  <c r="J202" i="2" s="1"/>
  <c r="Q201" i="2"/>
  <c r="P201" i="2"/>
  <c r="O201" i="2"/>
  <c r="R201" i="2" s="1"/>
  <c r="I201" i="2"/>
  <c r="J201" i="2" s="1"/>
  <c r="Q200" i="2"/>
  <c r="P200" i="2"/>
  <c r="O200" i="2"/>
  <c r="I200" i="2"/>
  <c r="J200" i="2" s="1"/>
  <c r="Q199" i="2"/>
  <c r="P199" i="2"/>
  <c r="O199" i="2"/>
  <c r="I199" i="2"/>
  <c r="J199" i="2" s="1"/>
  <c r="Q198" i="2"/>
  <c r="P198" i="2"/>
  <c r="O198" i="2"/>
  <c r="R198" i="2" s="1"/>
  <c r="I198" i="2"/>
  <c r="J198" i="2" s="1"/>
  <c r="Q197" i="2"/>
  <c r="P197" i="2"/>
  <c r="O197" i="2"/>
  <c r="I197" i="2"/>
  <c r="J197" i="2" s="1"/>
  <c r="Q196" i="2"/>
  <c r="P196" i="2"/>
  <c r="O196" i="2"/>
  <c r="R196" i="2" s="1"/>
  <c r="I196" i="2"/>
  <c r="J196" i="2" s="1"/>
  <c r="Q195" i="2"/>
  <c r="P195" i="2"/>
  <c r="O195" i="2"/>
  <c r="I195" i="2"/>
  <c r="J195" i="2" s="1"/>
  <c r="Q194" i="2"/>
  <c r="P194" i="2"/>
  <c r="O194" i="2"/>
  <c r="R194" i="2" s="1"/>
  <c r="I194" i="2"/>
  <c r="J194" i="2" s="1"/>
  <c r="Q193" i="2"/>
  <c r="P193" i="2"/>
  <c r="O193" i="2"/>
  <c r="I193" i="2"/>
  <c r="J193" i="2" s="1"/>
  <c r="Q192" i="2"/>
  <c r="P192" i="2"/>
  <c r="O192" i="2"/>
  <c r="I192" i="2"/>
  <c r="J192" i="2" s="1"/>
  <c r="Q191" i="2"/>
  <c r="P191" i="2"/>
  <c r="O191" i="2"/>
  <c r="R191" i="2" s="1"/>
  <c r="I191" i="2"/>
  <c r="J191" i="2" s="1"/>
  <c r="Q190" i="2"/>
  <c r="P190" i="2"/>
  <c r="O190" i="2"/>
  <c r="I190" i="2"/>
  <c r="J190" i="2" s="1"/>
  <c r="Q189" i="2"/>
  <c r="P189" i="2"/>
  <c r="O189" i="2"/>
  <c r="R189" i="2" s="1"/>
  <c r="I189" i="2"/>
  <c r="J189" i="2" s="1"/>
  <c r="Q188" i="2"/>
  <c r="P188" i="2"/>
  <c r="O188" i="2"/>
  <c r="R188" i="2" s="1"/>
  <c r="I188" i="2"/>
  <c r="J188" i="2" s="1"/>
  <c r="Q187" i="2"/>
  <c r="P187" i="2"/>
  <c r="O187" i="2"/>
  <c r="I187" i="2"/>
  <c r="J187" i="2" s="1"/>
  <c r="Q186" i="2"/>
  <c r="P186" i="2"/>
  <c r="O186" i="2"/>
  <c r="I186" i="2"/>
  <c r="J186" i="2" s="1"/>
  <c r="Q185" i="2"/>
  <c r="P185" i="2"/>
  <c r="O185" i="2"/>
  <c r="R185" i="2" s="1"/>
  <c r="I185" i="2"/>
  <c r="J185" i="2" s="1"/>
  <c r="Q184" i="2"/>
  <c r="P184" i="2"/>
  <c r="O184" i="2"/>
  <c r="R184" i="2" s="1"/>
  <c r="I184" i="2"/>
  <c r="J184" i="2" s="1"/>
  <c r="Q183" i="2"/>
  <c r="P183" i="2"/>
  <c r="O183" i="2"/>
  <c r="R183" i="2" s="1"/>
  <c r="I183" i="2"/>
  <c r="J183" i="2" s="1"/>
  <c r="Q182" i="2"/>
  <c r="P182" i="2"/>
  <c r="O182" i="2"/>
  <c r="R182" i="2" s="1"/>
  <c r="I182" i="2"/>
  <c r="J182" i="2" s="1"/>
  <c r="Q181" i="2"/>
  <c r="P181" i="2"/>
  <c r="O181" i="2"/>
  <c r="I181" i="2"/>
  <c r="J181" i="2" s="1"/>
  <c r="Q180" i="2"/>
  <c r="P180" i="2"/>
  <c r="O180" i="2"/>
  <c r="R180" i="2" s="1"/>
  <c r="I180" i="2"/>
  <c r="J180" i="2" s="1"/>
  <c r="Q179" i="2"/>
  <c r="P179" i="2"/>
  <c r="O179" i="2"/>
  <c r="I179" i="2"/>
  <c r="J179" i="2" s="1"/>
  <c r="Q178" i="2"/>
  <c r="P178" i="2"/>
  <c r="O178" i="2"/>
  <c r="R178" i="2" s="1"/>
  <c r="I178" i="2"/>
  <c r="J178" i="2" s="1"/>
  <c r="Q177" i="2"/>
  <c r="P177" i="2"/>
  <c r="O177" i="2"/>
  <c r="I177" i="2"/>
  <c r="J177" i="2" s="1"/>
  <c r="Q176" i="2"/>
  <c r="P176" i="2"/>
  <c r="O176" i="2"/>
  <c r="R176" i="2" s="1"/>
  <c r="I176" i="2"/>
  <c r="J176" i="2" s="1"/>
  <c r="Q175" i="2"/>
  <c r="P175" i="2"/>
  <c r="O175" i="2"/>
  <c r="R175" i="2" s="1"/>
  <c r="I175" i="2"/>
  <c r="J175" i="2" s="1"/>
  <c r="Q174" i="2"/>
  <c r="P174" i="2"/>
  <c r="O174" i="2"/>
  <c r="R174" i="2" s="1"/>
  <c r="I174" i="2"/>
  <c r="J174" i="2" s="1"/>
  <c r="Q173" i="2"/>
  <c r="P173" i="2"/>
  <c r="O173" i="2"/>
  <c r="I173" i="2"/>
  <c r="J173" i="2" s="1"/>
  <c r="Q172" i="2"/>
  <c r="P172" i="2"/>
  <c r="O172" i="2"/>
  <c r="R172" i="2" s="1"/>
  <c r="I172" i="2"/>
  <c r="J172" i="2" s="1"/>
  <c r="Q171" i="2"/>
  <c r="P171" i="2"/>
  <c r="O171" i="2"/>
  <c r="R171" i="2" s="1"/>
  <c r="I171" i="2"/>
  <c r="J171" i="2" s="1"/>
  <c r="Q170" i="2"/>
  <c r="P170" i="2"/>
  <c r="O170" i="2"/>
  <c r="I170" i="2"/>
  <c r="J170" i="2" s="1"/>
  <c r="Q169" i="2"/>
  <c r="P169" i="2"/>
  <c r="O169" i="2"/>
  <c r="R169" i="2" s="1"/>
  <c r="I169" i="2"/>
  <c r="J169" i="2" s="1"/>
  <c r="Q168" i="2"/>
  <c r="P168" i="2"/>
  <c r="O168" i="2"/>
  <c r="R168" i="2" s="1"/>
  <c r="I168" i="2"/>
  <c r="J168" i="2" s="1"/>
  <c r="Q167" i="2"/>
  <c r="P167" i="2"/>
  <c r="O167" i="2"/>
  <c r="I167" i="2"/>
  <c r="J167" i="2" s="1"/>
  <c r="Q166" i="2"/>
  <c r="P166" i="2"/>
  <c r="O166" i="2"/>
  <c r="R166" i="2" s="1"/>
  <c r="I166" i="2"/>
  <c r="J166" i="2" s="1"/>
  <c r="Q165" i="2"/>
  <c r="P165" i="2"/>
  <c r="O165" i="2"/>
  <c r="R165" i="2" s="1"/>
  <c r="I165" i="2"/>
  <c r="J165" i="2" s="1"/>
  <c r="Q164" i="2"/>
  <c r="P164" i="2"/>
  <c r="O164" i="2"/>
  <c r="R164" i="2" s="1"/>
  <c r="I164" i="2"/>
  <c r="J164" i="2" s="1"/>
  <c r="Q163" i="2"/>
  <c r="P163" i="2"/>
  <c r="O163" i="2"/>
  <c r="I163" i="2"/>
  <c r="J163" i="2" s="1"/>
  <c r="Q162" i="2"/>
  <c r="P162" i="2"/>
  <c r="O162" i="2"/>
  <c r="R162" i="2" s="1"/>
  <c r="I162" i="2"/>
  <c r="J162" i="2" s="1"/>
  <c r="Q161" i="2"/>
  <c r="P161" i="2"/>
  <c r="O161" i="2"/>
  <c r="R161" i="2" s="1"/>
  <c r="I161" i="2"/>
  <c r="J161" i="2" s="1"/>
  <c r="Q160" i="2"/>
  <c r="P160" i="2"/>
  <c r="O160" i="2"/>
  <c r="R160" i="2" s="1"/>
  <c r="I160" i="2"/>
  <c r="J160" i="2" s="1"/>
  <c r="Q159" i="2"/>
  <c r="P159" i="2"/>
  <c r="O159" i="2"/>
  <c r="R159" i="2" s="1"/>
  <c r="I159" i="2"/>
  <c r="J159" i="2" s="1"/>
  <c r="Q158" i="2"/>
  <c r="P158" i="2"/>
  <c r="O158" i="2"/>
  <c r="R158" i="2" s="1"/>
  <c r="I158" i="2"/>
  <c r="J158" i="2" s="1"/>
  <c r="Q157" i="2"/>
  <c r="P157" i="2"/>
  <c r="O157" i="2"/>
  <c r="R157" i="2" s="1"/>
  <c r="I157" i="2"/>
  <c r="J157" i="2" s="1"/>
  <c r="Q156" i="2"/>
  <c r="P156" i="2"/>
  <c r="O156" i="2"/>
  <c r="R156" i="2" s="1"/>
  <c r="I156" i="2"/>
  <c r="J156" i="2" s="1"/>
  <c r="Q155" i="2"/>
  <c r="P155" i="2"/>
  <c r="O155" i="2"/>
  <c r="R155" i="2" s="1"/>
  <c r="I155" i="2"/>
  <c r="J155" i="2" s="1"/>
  <c r="Q154" i="2"/>
  <c r="P154" i="2"/>
  <c r="O154" i="2"/>
  <c r="I154" i="2"/>
  <c r="J154" i="2" s="1"/>
  <c r="Q153" i="2"/>
  <c r="P153" i="2"/>
  <c r="O153" i="2"/>
  <c r="R153" i="2" s="1"/>
  <c r="I153" i="2"/>
  <c r="J153" i="2" s="1"/>
  <c r="Q152" i="2"/>
  <c r="P152" i="2"/>
  <c r="O152" i="2"/>
  <c r="I152" i="2"/>
  <c r="J152" i="2" s="1"/>
  <c r="Q151" i="2"/>
  <c r="P151" i="2"/>
  <c r="O151" i="2"/>
  <c r="R151" i="2" s="1"/>
  <c r="I151" i="2"/>
  <c r="J151" i="2" s="1"/>
  <c r="Q150" i="2"/>
  <c r="P150" i="2"/>
  <c r="O150" i="2"/>
  <c r="R150" i="2" s="1"/>
  <c r="I150" i="2"/>
  <c r="J150" i="2" s="1"/>
  <c r="Q149" i="2"/>
  <c r="P149" i="2"/>
  <c r="O149" i="2"/>
  <c r="R149" i="2" s="1"/>
  <c r="I149" i="2"/>
  <c r="J149" i="2" s="1"/>
  <c r="Q148" i="2"/>
  <c r="P148" i="2"/>
  <c r="O148" i="2"/>
  <c r="R148" i="2" s="1"/>
  <c r="I148" i="2"/>
  <c r="J148" i="2" s="1"/>
  <c r="Q147" i="2"/>
  <c r="P147" i="2"/>
  <c r="O147" i="2"/>
  <c r="I147" i="2"/>
  <c r="J147" i="2" s="1"/>
  <c r="Q146" i="2"/>
  <c r="P146" i="2"/>
  <c r="O146" i="2"/>
  <c r="R146" i="2" s="1"/>
  <c r="I146" i="2"/>
  <c r="J146" i="2" s="1"/>
  <c r="Q145" i="2"/>
  <c r="P145" i="2"/>
  <c r="O145" i="2"/>
  <c r="I145" i="2"/>
  <c r="J145" i="2" s="1"/>
  <c r="Q144" i="2"/>
  <c r="P144" i="2"/>
  <c r="O144" i="2"/>
  <c r="I144" i="2"/>
  <c r="J144" i="2" s="1"/>
  <c r="Q143" i="2"/>
  <c r="P143" i="2"/>
  <c r="O143" i="2"/>
  <c r="I143" i="2"/>
  <c r="J143" i="2" s="1"/>
  <c r="Q142" i="2"/>
  <c r="P142" i="2"/>
  <c r="O142" i="2"/>
  <c r="I142" i="2"/>
  <c r="J142" i="2" s="1"/>
  <c r="Q141" i="2"/>
  <c r="P141" i="2"/>
  <c r="O141" i="2"/>
  <c r="R141" i="2" s="1"/>
  <c r="I141" i="2"/>
  <c r="J141" i="2" s="1"/>
  <c r="Q140" i="2"/>
  <c r="P140" i="2"/>
  <c r="O140" i="2"/>
  <c r="R140" i="2" s="1"/>
  <c r="I140" i="2"/>
  <c r="J140" i="2" s="1"/>
  <c r="Q139" i="2"/>
  <c r="P139" i="2"/>
  <c r="O139" i="2"/>
  <c r="R139" i="2" s="1"/>
  <c r="I139" i="2"/>
  <c r="J139" i="2" s="1"/>
  <c r="Q138" i="2"/>
  <c r="P138" i="2"/>
  <c r="O138" i="2"/>
  <c r="R138" i="2" s="1"/>
  <c r="I138" i="2"/>
  <c r="J138" i="2" s="1"/>
  <c r="Q137" i="2"/>
  <c r="P137" i="2"/>
  <c r="O137" i="2"/>
  <c r="I137" i="2"/>
  <c r="J137" i="2" s="1"/>
  <c r="Q136" i="2"/>
  <c r="P136" i="2"/>
  <c r="O136" i="2"/>
  <c r="R136" i="2" s="1"/>
  <c r="I136" i="2"/>
  <c r="J136" i="2" s="1"/>
  <c r="Q135" i="2"/>
  <c r="P135" i="2"/>
  <c r="O135" i="2"/>
  <c r="R135" i="2" s="1"/>
  <c r="I135" i="2"/>
  <c r="J135" i="2" s="1"/>
  <c r="Q134" i="2"/>
  <c r="P134" i="2"/>
  <c r="O134" i="2"/>
  <c r="I134" i="2"/>
  <c r="J134" i="2" s="1"/>
  <c r="Q133" i="2"/>
  <c r="P133" i="2"/>
  <c r="O133" i="2"/>
  <c r="I133" i="2"/>
  <c r="J133" i="2" s="1"/>
  <c r="Q132" i="2"/>
  <c r="P132" i="2"/>
  <c r="O132" i="2"/>
  <c r="R132" i="2" s="1"/>
  <c r="I132" i="2"/>
  <c r="J132" i="2" s="1"/>
  <c r="Q131" i="2"/>
  <c r="P131" i="2"/>
  <c r="O131" i="2"/>
  <c r="R131" i="2" s="1"/>
  <c r="I131" i="2"/>
  <c r="J131" i="2" s="1"/>
  <c r="Q130" i="2"/>
  <c r="P130" i="2"/>
  <c r="O130" i="2"/>
  <c r="R130" i="2" s="1"/>
  <c r="I130" i="2"/>
  <c r="J130" i="2" s="1"/>
  <c r="Q129" i="2"/>
  <c r="P129" i="2"/>
  <c r="O129" i="2"/>
  <c r="R129" i="2" s="1"/>
  <c r="I129" i="2"/>
  <c r="J129" i="2" s="1"/>
  <c r="Q128" i="2"/>
  <c r="P128" i="2"/>
  <c r="O128" i="2"/>
  <c r="R128" i="2" s="1"/>
  <c r="I128" i="2"/>
  <c r="J128" i="2" s="1"/>
  <c r="Q127" i="2"/>
  <c r="P127" i="2"/>
  <c r="O127" i="2"/>
  <c r="R127" i="2" s="1"/>
  <c r="I127" i="2"/>
  <c r="J127" i="2" s="1"/>
  <c r="Q126" i="2"/>
  <c r="P126" i="2"/>
  <c r="O126" i="2"/>
  <c r="I126" i="2"/>
  <c r="J126" i="2" s="1"/>
  <c r="Q125" i="2"/>
  <c r="P125" i="2"/>
  <c r="O125" i="2"/>
  <c r="R125" i="2" s="1"/>
  <c r="I125" i="2"/>
  <c r="J125" i="2" s="1"/>
  <c r="Q124" i="2"/>
  <c r="P124" i="2"/>
  <c r="O124" i="2"/>
  <c r="R124" i="2" s="1"/>
  <c r="I124" i="2"/>
  <c r="J124" i="2" s="1"/>
  <c r="Q123" i="2"/>
  <c r="P123" i="2"/>
  <c r="O123" i="2"/>
  <c r="R123" i="2" s="1"/>
  <c r="I123" i="2"/>
  <c r="J123" i="2" s="1"/>
  <c r="Q122" i="2"/>
  <c r="P122" i="2"/>
  <c r="O122" i="2"/>
  <c r="R122" i="2" s="1"/>
  <c r="I122" i="2"/>
  <c r="J122" i="2" s="1"/>
  <c r="Q121" i="2"/>
  <c r="P121" i="2"/>
  <c r="O121" i="2"/>
  <c r="R121" i="2" s="1"/>
  <c r="I121" i="2"/>
  <c r="J121" i="2" s="1"/>
  <c r="Q120" i="2"/>
  <c r="P120" i="2"/>
  <c r="O120" i="2"/>
  <c r="I120" i="2"/>
  <c r="J120" i="2" s="1"/>
  <c r="Q119" i="2"/>
  <c r="P119" i="2"/>
  <c r="O119" i="2"/>
  <c r="R119" i="2" s="1"/>
  <c r="I119" i="2"/>
  <c r="J119" i="2" s="1"/>
  <c r="Q118" i="2"/>
  <c r="P118" i="2"/>
  <c r="O118" i="2"/>
  <c r="R118" i="2" s="1"/>
  <c r="I118" i="2"/>
  <c r="J118" i="2" s="1"/>
  <c r="Q117" i="2"/>
  <c r="P117" i="2"/>
  <c r="O117" i="2"/>
  <c r="R117" i="2" s="1"/>
  <c r="I117" i="2"/>
  <c r="J117" i="2" s="1"/>
  <c r="Q116" i="2"/>
  <c r="P116" i="2"/>
  <c r="O116" i="2"/>
  <c r="R116" i="2" s="1"/>
  <c r="I116" i="2"/>
  <c r="J116" i="2" s="1"/>
  <c r="Q115" i="2"/>
  <c r="P115" i="2"/>
  <c r="O115" i="2"/>
  <c r="I115" i="2"/>
  <c r="J115" i="2" s="1"/>
  <c r="Q114" i="2"/>
  <c r="P114" i="2"/>
  <c r="O114" i="2"/>
  <c r="R114" i="2" s="1"/>
  <c r="I114" i="2"/>
  <c r="J114" i="2" s="1"/>
  <c r="Q113" i="2"/>
  <c r="P113" i="2"/>
  <c r="O113" i="2"/>
  <c r="I113" i="2"/>
  <c r="J113" i="2" s="1"/>
  <c r="Q112" i="2"/>
  <c r="P112" i="2"/>
  <c r="O112" i="2"/>
  <c r="R112" i="2" s="1"/>
  <c r="I112" i="2"/>
  <c r="J112" i="2" s="1"/>
  <c r="Q111" i="2"/>
  <c r="P111" i="2"/>
  <c r="O111" i="2"/>
  <c r="R111" i="2" s="1"/>
  <c r="I111" i="2"/>
  <c r="J111" i="2" s="1"/>
  <c r="Q110" i="2"/>
  <c r="P110" i="2"/>
  <c r="O110" i="2"/>
  <c r="R110" i="2" s="1"/>
  <c r="I110" i="2"/>
  <c r="J110" i="2" s="1"/>
  <c r="Q109" i="2"/>
  <c r="P109" i="2"/>
  <c r="O109" i="2"/>
  <c r="I109" i="2"/>
  <c r="J109" i="2" s="1"/>
  <c r="Q108" i="2"/>
  <c r="P108" i="2"/>
  <c r="O108" i="2"/>
  <c r="R108" i="2" s="1"/>
  <c r="I108" i="2"/>
  <c r="J108" i="2" s="1"/>
  <c r="Q107" i="2"/>
  <c r="P107" i="2"/>
  <c r="O107" i="2"/>
  <c r="R107" i="2" s="1"/>
  <c r="I107" i="2"/>
  <c r="J107" i="2" s="1"/>
  <c r="Q106" i="2"/>
  <c r="P106" i="2"/>
  <c r="O106" i="2"/>
  <c r="I106" i="2"/>
  <c r="J106" i="2" s="1"/>
  <c r="Q105" i="2"/>
  <c r="P105" i="2"/>
  <c r="O105" i="2"/>
  <c r="R105" i="2" s="1"/>
  <c r="I105" i="2"/>
  <c r="J105" i="2" s="1"/>
  <c r="Q104" i="2"/>
  <c r="P104" i="2"/>
  <c r="O104" i="2"/>
  <c r="I104" i="2"/>
  <c r="J104" i="2" s="1"/>
  <c r="Q103" i="2"/>
  <c r="P103" i="2"/>
  <c r="O103" i="2"/>
  <c r="I103" i="2"/>
  <c r="J103" i="2" s="1"/>
  <c r="Q102" i="2"/>
  <c r="P102" i="2"/>
  <c r="O102" i="2"/>
  <c r="R102" i="2" s="1"/>
  <c r="I102" i="2"/>
  <c r="J102" i="2" s="1"/>
  <c r="Q101" i="2"/>
  <c r="P101" i="2"/>
  <c r="O101" i="2"/>
  <c r="I101" i="2"/>
  <c r="J101" i="2" s="1"/>
  <c r="Q100" i="2"/>
  <c r="P100" i="2"/>
  <c r="O100" i="2"/>
  <c r="R100" i="2" s="1"/>
  <c r="I100" i="2"/>
  <c r="J100" i="2" s="1"/>
  <c r="Q99" i="2"/>
  <c r="P99" i="2"/>
  <c r="O99" i="2"/>
  <c r="R99" i="2" s="1"/>
  <c r="I99" i="2"/>
  <c r="J99" i="2" s="1"/>
  <c r="Q98" i="2"/>
  <c r="P98" i="2"/>
  <c r="O98" i="2"/>
  <c r="R98" i="2" s="1"/>
  <c r="I98" i="2"/>
  <c r="J98" i="2" s="1"/>
  <c r="Q97" i="2"/>
  <c r="P97" i="2"/>
  <c r="O97" i="2"/>
  <c r="I97" i="2"/>
  <c r="J97" i="2" s="1"/>
  <c r="Q96" i="2"/>
  <c r="P96" i="2"/>
  <c r="O96" i="2"/>
  <c r="I96" i="2"/>
  <c r="J96" i="2" s="1"/>
  <c r="Q95" i="2"/>
  <c r="P95" i="2"/>
  <c r="O95" i="2"/>
  <c r="R95" i="2" s="1"/>
  <c r="I95" i="2"/>
  <c r="J95" i="2" s="1"/>
  <c r="Q94" i="2"/>
  <c r="P94" i="2"/>
  <c r="O94" i="2"/>
  <c r="I94" i="2"/>
  <c r="J94" i="2" s="1"/>
  <c r="Q93" i="2"/>
  <c r="P93" i="2"/>
  <c r="O93" i="2"/>
  <c r="R93" i="2" s="1"/>
  <c r="I93" i="2"/>
  <c r="J93" i="2" s="1"/>
  <c r="Q92" i="2"/>
  <c r="P92" i="2"/>
  <c r="O92" i="2"/>
  <c r="I92" i="2"/>
  <c r="J92" i="2" s="1"/>
  <c r="Q91" i="2"/>
  <c r="P91" i="2"/>
  <c r="O91" i="2"/>
  <c r="R91" i="2" s="1"/>
  <c r="I91" i="2"/>
  <c r="J91" i="2" s="1"/>
  <c r="Q90" i="2"/>
  <c r="P90" i="2"/>
  <c r="O90" i="2"/>
  <c r="I90" i="2"/>
  <c r="J90" i="2" s="1"/>
  <c r="Q89" i="2"/>
  <c r="P89" i="2"/>
  <c r="O89" i="2"/>
  <c r="R89" i="2" s="1"/>
  <c r="I89" i="2"/>
  <c r="J89" i="2" s="1"/>
  <c r="Q88" i="2"/>
  <c r="P88" i="2"/>
  <c r="O88" i="2"/>
  <c r="R88" i="2" s="1"/>
  <c r="I88" i="2"/>
  <c r="J88" i="2" s="1"/>
  <c r="Q87" i="2"/>
  <c r="P87" i="2"/>
  <c r="O87" i="2"/>
  <c r="R87" i="2" s="1"/>
  <c r="I87" i="2"/>
  <c r="J87" i="2" s="1"/>
  <c r="Q86" i="2"/>
  <c r="P86" i="2"/>
  <c r="O86" i="2"/>
  <c r="R86" i="2" s="1"/>
  <c r="I86" i="2"/>
  <c r="J86" i="2" s="1"/>
  <c r="Q85" i="2"/>
  <c r="P85" i="2"/>
  <c r="O85" i="2"/>
  <c r="R85" i="2" s="1"/>
  <c r="I85" i="2"/>
  <c r="J85" i="2" s="1"/>
  <c r="Q84" i="2"/>
  <c r="P84" i="2"/>
  <c r="O84" i="2"/>
  <c r="R84" i="2" s="1"/>
  <c r="I84" i="2"/>
  <c r="J84" i="2" s="1"/>
  <c r="Q83" i="2"/>
  <c r="P83" i="2"/>
  <c r="O83" i="2"/>
  <c r="R83" i="2" s="1"/>
  <c r="I83" i="2"/>
  <c r="J83" i="2" s="1"/>
  <c r="Q82" i="2"/>
  <c r="P82" i="2"/>
  <c r="O82" i="2"/>
  <c r="R82" i="2" s="1"/>
  <c r="I82" i="2"/>
  <c r="J82" i="2" s="1"/>
  <c r="Q81" i="2"/>
  <c r="P81" i="2"/>
  <c r="O81" i="2"/>
  <c r="I81" i="2"/>
  <c r="J81" i="2" s="1"/>
  <c r="Q80" i="2"/>
  <c r="P80" i="2"/>
  <c r="O80" i="2"/>
  <c r="R80" i="2" s="1"/>
  <c r="I80" i="2"/>
  <c r="J80" i="2" s="1"/>
  <c r="Q79" i="2"/>
  <c r="P79" i="2"/>
  <c r="O79" i="2"/>
  <c r="R79" i="2" s="1"/>
  <c r="I79" i="2"/>
  <c r="J79" i="2" s="1"/>
  <c r="Q78" i="2"/>
  <c r="P78" i="2"/>
  <c r="O78" i="2"/>
  <c r="R78" i="2" s="1"/>
  <c r="I78" i="2"/>
  <c r="J78" i="2" s="1"/>
  <c r="Q77" i="2"/>
  <c r="P77" i="2"/>
  <c r="O77" i="2"/>
  <c r="I77" i="2"/>
  <c r="J77" i="2" s="1"/>
  <c r="Q76" i="2"/>
  <c r="P76" i="2"/>
  <c r="O76" i="2"/>
  <c r="I76" i="2"/>
  <c r="J76" i="2" s="1"/>
  <c r="Q75" i="2"/>
  <c r="P75" i="2"/>
  <c r="O75" i="2"/>
  <c r="I75" i="2"/>
  <c r="J75" i="2" s="1"/>
  <c r="Q74" i="2"/>
  <c r="P74" i="2"/>
  <c r="O74" i="2"/>
  <c r="R74" i="2" s="1"/>
  <c r="I74" i="2"/>
  <c r="J74" i="2" s="1"/>
  <c r="Q73" i="2"/>
  <c r="P73" i="2"/>
  <c r="O73" i="2"/>
  <c r="R73" i="2" s="1"/>
  <c r="I73" i="2"/>
  <c r="J73" i="2" s="1"/>
  <c r="Q72" i="2"/>
  <c r="P72" i="2"/>
  <c r="O72" i="2"/>
  <c r="R72" i="2" s="1"/>
  <c r="I72" i="2"/>
  <c r="J72" i="2" s="1"/>
  <c r="Q71" i="2"/>
  <c r="P71" i="2"/>
  <c r="O71" i="2"/>
  <c r="I71" i="2"/>
  <c r="J71" i="2" s="1"/>
  <c r="Q70" i="2"/>
  <c r="P70" i="2"/>
  <c r="O70" i="2"/>
  <c r="R70" i="2" s="1"/>
  <c r="I70" i="2"/>
  <c r="J70" i="2" s="1"/>
  <c r="Q69" i="2"/>
  <c r="P69" i="2"/>
  <c r="O69" i="2"/>
  <c r="R69" i="2" s="1"/>
  <c r="I69" i="2"/>
  <c r="J69" i="2" s="1"/>
  <c r="Q68" i="2"/>
  <c r="P68" i="2"/>
  <c r="O68" i="2"/>
  <c r="R68" i="2" s="1"/>
  <c r="I68" i="2"/>
  <c r="J68" i="2" s="1"/>
  <c r="Q67" i="2"/>
  <c r="P67" i="2"/>
  <c r="O67" i="2"/>
  <c r="R67" i="2" s="1"/>
  <c r="I67" i="2"/>
  <c r="J67" i="2" s="1"/>
  <c r="Q66" i="2"/>
  <c r="P66" i="2"/>
  <c r="O66" i="2"/>
  <c r="I66" i="2"/>
  <c r="J66" i="2" s="1"/>
  <c r="Q65" i="2"/>
  <c r="P65" i="2"/>
  <c r="O65" i="2"/>
  <c r="R65" i="2" s="1"/>
  <c r="I65" i="2"/>
  <c r="J65" i="2" s="1"/>
  <c r="Q64" i="2"/>
  <c r="P64" i="2"/>
  <c r="O64" i="2"/>
  <c r="R64" i="2" s="1"/>
  <c r="I64" i="2"/>
  <c r="J64" i="2" s="1"/>
  <c r="Q63" i="2"/>
  <c r="P63" i="2"/>
  <c r="O63" i="2"/>
  <c r="R63" i="2" s="1"/>
  <c r="I63" i="2"/>
  <c r="J63" i="2" s="1"/>
  <c r="Q62" i="2"/>
  <c r="P62" i="2"/>
  <c r="O62" i="2"/>
  <c r="I62" i="2"/>
  <c r="J62" i="2" s="1"/>
  <c r="Q61" i="2"/>
  <c r="P61" i="2"/>
  <c r="O61" i="2"/>
  <c r="I61" i="2"/>
  <c r="J61" i="2" s="1"/>
  <c r="Q60" i="2"/>
  <c r="P60" i="2"/>
  <c r="O60" i="2"/>
  <c r="R60" i="2" s="1"/>
  <c r="I60" i="2"/>
  <c r="J60" i="2" s="1"/>
  <c r="Q59" i="2"/>
  <c r="P59" i="2"/>
  <c r="O59" i="2"/>
  <c r="R59" i="2" s="1"/>
  <c r="I59" i="2"/>
  <c r="J59" i="2" s="1"/>
  <c r="Q58" i="2"/>
  <c r="P58" i="2"/>
  <c r="O58" i="2"/>
  <c r="I58" i="2"/>
  <c r="J58" i="2" s="1"/>
  <c r="Q57" i="2"/>
  <c r="P57" i="2"/>
  <c r="O57" i="2"/>
  <c r="I57" i="2"/>
  <c r="J57" i="2" s="1"/>
  <c r="Q56" i="2"/>
  <c r="P56" i="2"/>
  <c r="O56" i="2"/>
  <c r="R56" i="2" s="1"/>
  <c r="I56" i="2"/>
  <c r="J56" i="2" s="1"/>
  <c r="Q55" i="2"/>
  <c r="P55" i="2"/>
  <c r="O55" i="2"/>
  <c r="I55" i="2"/>
  <c r="J55" i="2" s="1"/>
  <c r="Q54" i="2"/>
  <c r="P54" i="2"/>
  <c r="O54" i="2"/>
  <c r="R54" i="2" s="1"/>
  <c r="I54" i="2"/>
  <c r="J54" i="2" s="1"/>
  <c r="Q53" i="2"/>
  <c r="P53" i="2"/>
  <c r="O53" i="2"/>
  <c r="R53" i="2" s="1"/>
  <c r="I53" i="2"/>
  <c r="J53" i="2" s="1"/>
  <c r="Q52" i="2"/>
  <c r="P52" i="2"/>
  <c r="O52" i="2"/>
  <c r="R52" i="2" s="1"/>
  <c r="I52" i="2"/>
  <c r="J52" i="2" s="1"/>
  <c r="Q51" i="2"/>
  <c r="P51" i="2"/>
  <c r="O51" i="2"/>
  <c r="R51" i="2" s="1"/>
  <c r="I51" i="2"/>
  <c r="J51" i="2" s="1"/>
  <c r="Q50" i="2"/>
  <c r="P50" i="2"/>
  <c r="O50" i="2"/>
  <c r="R50" i="2" s="1"/>
  <c r="I50" i="2"/>
  <c r="J50" i="2" s="1"/>
  <c r="Q49" i="2"/>
  <c r="P49" i="2"/>
  <c r="O49" i="2"/>
  <c r="I49" i="2"/>
  <c r="J49" i="2" s="1"/>
  <c r="Q48" i="2"/>
  <c r="P48" i="2"/>
  <c r="O48" i="2"/>
  <c r="R48" i="2" s="1"/>
  <c r="I48" i="2"/>
  <c r="J48" i="2" s="1"/>
  <c r="Q47" i="2"/>
  <c r="P47" i="2"/>
  <c r="O47" i="2"/>
  <c r="R47" i="2" s="1"/>
  <c r="I47" i="2"/>
  <c r="J47" i="2" s="1"/>
  <c r="Q46" i="2"/>
  <c r="P46" i="2"/>
  <c r="O46" i="2"/>
  <c r="R46" i="2" s="1"/>
  <c r="I46" i="2"/>
  <c r="J46" i="2" s="1"/>
  <c r="Q45" i="2"/>
  <c r="P45" i="2"/>
  <c r="O45" i="2"/>
  <c r="I45" i="2"/>
  <c r="J45" i="2" s="1"/>
  <c r="Q44" i="2"/>
  <c r="P44" i="2"/>
  <c r="O44" i="2"/>
  <c r="R44" i="2" s="1"/>
  <c r="I44" i="2"/>
  <c r="J44" i="2" s="1"/>
  <c r="Q43" i="2"/>
  <c r="P43" i="2"/>
  <c r="O43" i="2"/>
  <c r="I43" i="2"/>
  <c r="J43" i="2" s="1"/>
  <c r="Q42" i="2"/>
  <c r="P42" i="2"/>
  <c r="O42" i="2"/>
  <c r="I42" i="2"/>
  <c r="J42" i="2" s="1"/>
  <c r="Q41" i="2"/>
  <c r="P41" i="2"/>
  <c r="O41" i="2"/>
  <c r="R41" i="2" s="1"/>
  <c r="I41" i="2"/>
  <c r="J41" i="2" s="1"/>
  <c r="Q40" i="2"/>
  <c r="P40" i="2"/>
  <c r="O40" i="2"/>
  <c r="I40" i="2"/>
  <c r="J40" i="2" s="1"/>
  <c r="Q39" i="2"/>
  <c r="P39" i="2"/>
  <c r="O39" i="2"/>
  <c r="R39" i="2" s="1"/>
  <c r="I39" i="2"/>
  <c r="J39" i="2" s="1"/>
  <c r="Q38" i="2"/>
  <c r="P38" i="2"/>
  <c r="O38" i="2"/>
  <c r="R38" i="2" s="1"/>
  <c r="I38" i="2"/>
  <c r="J38" i="2" s="1"/>
  <c r="Q37" i="2"/>
  <c r="P37" i="2"/>
  <c r="O37" i="2"/>
  <c r="R37" i="2" s="1"/>
  <c r="I37" i="2"/>
  <c r="J37" i="2" s="1"/>
  <c r="Q36" i="2"/>
  <c r="P36" i="2"/>
  <c r="O36" i="2"/>
  <c r="R36" i="2" s="1"/>
  <c r="I36" i="2"/>
  <c r="J36" i="2" s="1"/>
  <c r="Q35" i="2"/>
  <c r="P35" i="2"/>
  <c r="O35" i="2"/>
  <c r="I35" i="2"/>
  <c r="J35" i="2" s="1"/>
  <c r="Q34" i="2"/>
  <c r="P34" i="2"/>
  <c r="O34" i="2"/>
  <c r="R34" i="2" s="1"/>
  <c r="I34" i="2"/>
  <c r="J34" i="2" s="1"/>
  <c r="Q33" i="2"/>
  <c r="P33" i="2"/>
  <c r="O33" i="2"/>
  <c r="R33" i="2" s="1"/>
  <c r="I33" i="2"/>
  <c r="J33" i="2" s="1"/>
  <c r="Q32" i="2"/>
  <c r="P32" i="2"/>
  <c r="O32" i="2"/>
  <c r="I32" i="2"/>
  <c r="J32" i="2" s="1"/>
  <c r="Q31" i="2"/>
  <c r="P31" i="2"/>
  <c r="O31" i="2"/>
  <c r="R31" i="2" s="1"/>
  <c r="I31" i="2"/>
  <c r="J31" i="2" s="1"/>
  <c r="Q30" i="2"/>
  <c r="P30" i="2"/>
  <c r="O30" i="2"/>
  <c r="R30" i="2" s="1"/>
  <c r="I30" i="2"/>
  <c r="J30" i="2" s="1"/>
  <c r="Q29" i="2"/>
  <c r="P29" i="2"/>
  <c r="O29" i="2"/>
  <c r="I29" i="2"/>
  <c r="J29" i="2" s="1"/>
  <c r="Q28" i="2"/>
  <c r="P28" i="2"/>
  <c r="O28" i="2"/>
  <c r="R28" i="2" s="1"/>
  <c r="I28" i="2"/>
  <c r="J28" i="2" s="1"/>
  <c r="Q27" i="2"/>
  <c r="P27" i="2"/>
  <c r="O27" i="2"/>
  <c r="I27" i="2"/>
  <c r="J27" i="2" s="1"/>
  <c r="Q26" i="2"/>
  <c r="P26" i="2"/>
  <c r="O26" i="2"/>
  <c r="R26" i="2" s="1"/>
  <c r="I26" i="2"/>
  <c r="J26" i="2" s="1"/>
  <c r="Q25" i="2"/>
  <c r="P25" i="2"/>
  <c r="O25" i="2"/>
  <c r="R25" i="2" s="1"/>
  <c r="I25" i="2"/>
  <c r="J25" i="2" s="1"/>
  <c r="Q24" i="2"/>
  <c r="P24" i="2"/>
  <c r="O24" i="2"/>
  <c r="I24" i="2"/>
  <c r="J24" i="2" s="1"/>
  <c r="Q23" i="2"/>
  <c r="P23" i="2"/>
  <c r="O23" i="2"/>
  <c r="R23" i="2" s="1"/>
  <c r="I23" i="2"/>
  <c r="J23" i="2" s="1"/>
  <c r="Q22" i="2"/>
  <c r="P22" i="2"/>
  <c r="O22" i="2"/>
  <c r="R22" i="2" s="1"/>
  <c r="I22" i="2"/>
  <c r="J22" i="2" s="1"/>
  <c r="Q21" i="2"/>
  <c r="P21" i="2"/>
  <c r="O21" i="2"/>
  <c r="R21" i="2" s="1"/>
  <c r="I21" i="2"/>
  <c r="J21" i="2" s="1"/>
  <c r="Q20" i="2"/>
  <c r="P20" i="2"/>
  <c r="O20" i="2"/>
  <c r="I20" i="2"/>
  <c r="J20" i="2" s="1"/>
  <c r="Q19" i="2"/>
  <c r="P19" i="2"/>
  <c r="O19" i="2"/>
  <c r="R19" i="2" s="1"/>
  <c r="I19" i="2"/>
  <c r="J19" i="2" s="1"/>
  <c r="Q18" i="2"/>
  <c r="P18" i="2"/>
  <c r="O18" i="2"/>
  <c r="R18" i="2" s="1"/>
  <c r="I18" i="2"/>
  <c r="J18" i="2" s="1"/>
  <c r="Q17" i="2"/>
  <c r="P17" i="2"/>
  <c r="O17" i="2"/>
  <c r="R17" i="2" s="1"/>
  <c r="I17" i="2"/>
  <c r="J17" i="2" s="1"/>
  <c r="Q16" i="2"/>
  <c r="P16" i="2"/>
  <c r="O16" i="2"/>
  <c r="R16" i="2" s="1"/>
  <c r="I16" i="2"/>
  <c r="J16" i="2" s="1"/>
  <c r="Q15" i="2"/>
  <c r="P15" i="2"/>
  <c r="O15" i="2"/>
  <c r="R15" i="2" s="1"/>
  <c r="I15" i="2"/>
  <c r="J15" i="2" s="1"/>
  <c r="Q14" i="2"/>
  <c r="P14" i="2"/>
  <c r="O14" i="2"/>
  <c r="R14" i="2" s="1"/>
  <c r="I14" i="2"/>
  <c r="J14" i="2" s="1"/>
  <c r="Q13" i="2"/>
  <c r="P13" i="2"/>
  <c r="O13" i="2"/>
  <c r="R13" i="2" s="1"/>
  <c r="I13" i="2"/>
  <c r="J13" i="2" s="1"/>
  <c r="Q12" i="2"/>
  <c r="P12" i="2"/>
  <c r="O12" i="2"/>
  <c r="R12" i="2" s="1"/>
  <c r="I12" i="2"/>
  <c r="J12" i="2" s="1"/>
  <c r="Q11" i="2"/>
  <c r="P11" i="2"/>
  <c r="O11" i="2"/>
  <c r="R11" i="2" s="1"/>
  <c r="I11" i="2"/>
  <c r="J11" i="2" s="1"/>
  <c r="Q10" i="2"/>
  <c r="P10" i="2"/>
  <c r="O10" i="2"/>
  <c r="R10" i="2" s="1"/>
  <c r="I10" i="2"/>
  <c r="J10" i="2" s="1"/>
  <c r="Q9" i="2"/>
  <c r="P9" i="2"/>
  <c r="O9" i="2"/>
  <c r="R9" i="2" s="1"/>
  <c r="I9" i="2"/>
  <c r="J9" i="2" s="1"/>
  <c r="Q8" i="2"/>
  <c r="P8" i="2"/>
  <c r="O8" i="2"/>
  <c r="R8" i="2" s="1"/>
  <c r="I8" i="2"/>
  <c r="J8" i="2" s="1"/>
  <c r="Q7" i="2"/>
  <c r="P7" i="2"/>
  <c r="O7" i="2"/>
  <c r="R7" i="2" s="1"/>
  <c r="I7" i="2"/>
  <c r="J7" i="2" s="1"/>
  <c r="Q6" i="2"/>
  <c r="P6" i="2"/>
  <c r="O6" i="2"/>
  <c r="R6" i="2" s="1"/>
  <c r="I6" i="2"/>
  <c r="J6" i="2" s="1"/>
  <c r="Q5" i="2"/>
  <c r="P5" i="2"/>
  <c r="O5" i="2"/>
  <c r="I5" i="2"/>
  <c r="J5" i="2" s="1"/>
  <c r="Q469" i="1"/>
  <c r="P469" i="1"/>
  <c r="O469" i="1"/>
  <c r="R469" i="1" s="1"/>
  <c r="I469" i="1"/>
  <c r="Q468" i="1"/>
  <c r="P468" i="1"/>
  <c r="O468" i="1"/>
  <c r="R468" i="1" s="1"/>
  <c r="I468" i="1"/>
  <c r="Q467" i="1"/>
  <c r="P467" i="1"/>
  <c r="O467" i="1"/>
  <c r="R467" i="1" s="1"/>
  <c r="I467" i="1"/>
  <c r="Q466" i="1"/>
  <c r="P466" i="1"/>
  <c r="O466" i="1"/>
  <c r="R466" i="1" s="1"/>
  <c r="I466" i="1"/>
  <c r="Q465" i="1"/>
  <c r="P465" i="1"/>
  <c r="O465" i="1"/>
  <c r="I465" i="1"/>
  <c r="Q464" i="1"/>
  <c r="P464" i="1"/>
  <c r="O464" i="1"/>
  <c r="R464" i="1" s="1"/>
  <c r="I464" i="1"/>
  <c r="Q463" i="1"/>
  <c r="P463" i="1"/>
  <c r="O463" i="1"/>
  <c r="R463" i="1" s="1"/>
  <c r="I463" i="1"/>
  <c r="Q462" i="1"/>
  <c r="P462" i="1"/>
  <c r="O462" i="1"/>
  <c r="R462" i="1" s="1"/>
  <c r="I462" i="1"/>
  <c r="Q461" i="1"/>
  <c r="P461" i="1"/>
  <c r="O461" i="1"/>
  <c r="R461" i="1" s="1"/>
  <c r="I461" i="1"/>
  <c r="Q460" i="1"/>
  <c r="P460" i="1"/>
  <c r="O460" i="1"/>
  <c r="R460" i="1" s="1"/>
  <c r="I460" i="1"/>
  <c r="Q459" i="1"/>
  <c r="P459" i="1"/>
  <c r="O459" i="1"/>
  <c r="R459" i="1" s="1"/>
  <c r="I459" i="1"/>
  <c r="Q458" i="1"/>
  <c r="P458" i="1"/>
  <c r="O458" i="1"/>
  <c r="R458" i="1" s="1"/>
  <c r="I458" i="1"/>
  <c r="Q457" i="1"/>
  <c r="P457" i="1"/>
  <c r="O457" i="1"/>
  <c r="R457" i="1" s="1"/>
  <c r="I457" i="1"/>
  <c r="Q456" i="1"/>
  <c r="P456" i="1"/>
  <c r="O456" i="1"/>
  <c r="I456" i="1"/>
  <c r="Q455" i="1"/>
  <c r="P455" i="1"/>
  <c r="O455" i="1"/>
  <c r="R455" i="1" s="1"/>
  <c r="I455" i="1"/>
  <c r="Q454" i="1"/>
  <c r="P454" i="1"/>
  <c r="O454" i="1"/>
  <c r="R454" i="1" s="1"/>
  <c r="I454" i="1"/>
  <c r="Q453" i="1"/>
  <c r="P453" i="1"/>
  <c r="O453" i="1"/>
  <c r="R453" i="1" s="1"/>
  <c r="I453" i="1"/>
  <c r="Q452" i="1"/>
  <c r="P452" i="1"/>
  <c r="O452" i="1"/>
  <c r="R452" i="1" s="1"/>
  <c r="I452" i="1"/>
  <c r="Q451" i="1"/>
  <c r="P451" i="1"/>
  <c r="O451" i="1"/>
  <c r="R451" i="1" s="1"/>
  <c r="I451" i="1"/>
  <c r="Q450" i="1"/>
  <c r="P450" i="1"/>
  <c r="O450" i="1"/>
  <c r="I450" i="1"/>
  <c r="Q449" i="1"/>
  <c r="P449" i="1"/>
  <c r="O449" i="1"/>
  <c r="R449" i="1" s="1"/>
  <c r="I449" i="1"/>
  <c r="Q448" i="1"/>
  <c r="P448" i="1"/>
  <c r="O448" i="1"/>
  <c r="R448" i="1" s="1"/>
  <c r="I448" i="1"/>
  <c r="Q447" i="1"/>
  <c r="P447" i="1"/>
  <c r="O447" i="1"/>
  <c r="I447" i="1"/>
  <c r="Q446" i="1"/>
  <c r="P446" i="1"/>
  <c r="O446" i="1"/>
  <c r="R446" i="1" s="1"/>
  <c r="I446" i="1"/>
  <c r="Q445" i="1"/>
  <c r="P445" i="1"/>
  <c r="O445" i="1"/>
  <c r="R445" i="1" s="1"/>
  <c r="I445" i="1"/>
  <c r="Q444" i="1"/>
  <c r="P444" i="1"/>
  <c r="O444" i="1"/>
  <c r="R444" i="1" s="1"/>
  <c r="I444" i="1"/>
  <c r="Q443" i="1"/>
  <c r="P443" i="1"/>
  <c r="O443" i="1"/>
  <c r="R443" i="1" s="1"/>
  <c r="I443" i="1"/>
  <c r="Q442" i="1"/>
  <c r="P442" i="1"/>
  <c r="O442" i="1"/>
  <c r="R442" i="1" s="1"/>
  <c r="I442" i="1"/>
  <c r="Q441" i="1"/>
  <c r="P441" i="1"/>
  <c r="O441" i="1"/>
  <c r="R441" i="1" s="1"/>
  <c r="I441" i="1"/>
  <c r="Q440" i="1"/>
  <c r="P440" i="1"/>
  <c r="O440" i="1"/>
  <c r="R440" i="1" s="1"/>
  <c r="I440" i="1"/>
  <c r="Q439" i="1"/>
  <c r="P439" i="1"/>
  <c r="O439" i="1"/>
  <c r="R439" i="1" s="1"/>
  <c r="I439" i="1"/>
  <c r="Q438" i="1"/>
  <c r="P438" i="1"/>
  <c r="O438" i="1"/>
  <c r="I438" i="1"/>
  <c r="Q437" i="1"/>
  <c r="P437" i="1"/>
  <c r="O437" i="1"/>
  <c r="R437" i="1" s="1"/>
  <c r="I437" i="1"/>
  <c r="Q436" i="1"/>
  <c r="P436" i="1"/>
  <c r="O436" i="1"/>
  <c r="I436" i="1"/>
  <c r="Q435" i="1"/>
  <c r="P435" i="1"/>
  <c r="O435" i="1"/>
  <c r="R435" i="1" s="1"/>
  <c r="I435" i="1"/>
  <c r="Q434" i="1"/>
  <c r="P434" i="1"/>
  <c r="O434" i="1"/>
  <c r="R434" i="1" s="1"/>
  <c r="I434" i="1"/>
  <c r="Q433" i="1"/>
  <c r="P433" i="1"/>
  <c r="O433" i="1"/>
  <c r="R433" i="1" s="1"/>
  <c r="I433" i="1"/>
  <c r="Q432" i="1"/>
  <c r="P432" i="1"/>
  <c r="O432" i="1"/>
  <c r="I432" i="1"/>
  <c r="Q431" i="1"/>
  <c r="P431" i="1"/>
  <c r="O431" i="1"/>
  <c r="R431" i="1" s="1"/>
  <c r="I431" i="1"/>
  <c r="Q430" i="1"/>
  <c r="P430" i="1"/>
  <c r="O430" i="1"/>
  <c r="R430" i="1" s="1"/>
  <c r="I430" i="1"/>
  <c r="Q429" i="1"/>
  <c r="P429" i="1"/>
  <c r="O429" i="1"/>
  <c r="R429" i="1" s="1"/>
  <c r="I429" i="1"/>
  <c r="Q428" i="1"/>
  <c r="P428" i="1"/>
  <c r="O428" i="1"/>
  <c r="R428" i="1" s="1"/>
  <c r="I428" i="1"/>
  <c r="Q427" i="1"/>
  <c r="P427" i="1"/>
  <c r="O427" i="1"/>
  <c r="I427" i="1"/>
  <c r="Q426" i="1"/>
  <c r="P426" i="1"/>
  <c r="O426" i="1"/>
  <c r="R426" i="1" s="1"/>
  <c r="I426" i="1"/>
  <c r="Q425" i="1"/>
  <c r="P425" i="1"/>
  <c r="O425" i="1"/>
  <c r="I425" i="1"/>
  <c r="Q424" i="1"/>
  <c r="P424" i="1"/>
  <c r="O424" i="1"/>
  <c r="I424" i="1"/>
  <c r="Q423" i="1"/>
  <c r="P423" i="1"/>
  <c r="O423" i="1"/>
  <c r="I423" i="1"/>
  <c r="Q422" i="1"/>
  <c r="P422" i="1"/>
  <c r="O422" i="1"/>
  <c r="R422" i="1" s="1"/>
  <c r="I422" i="1"/>
  <c r="Q421" i="1"/>
  <c r="P421" i="1"/>
  <c r="O421" i="1"/>
  <c r="R421" i="1" s="1"/>
  <c r="I421" i="1"/>
  <c r="Q420" i="1"/>
  <c r="P420" i="1"/>
  <c r="O420" i="1"/>
  <c r="R420" i="1" s="1"/>
  <c r="I420" i="1"/>
  <c r="Q419" i="1"/>
  <c r="P419" i="1"/>
  <c r="O419" i="1"/>
  <c r="I419" i="1"/>
  <c r="Q418" i="1"/>
  <c r="P418" i="1"/>
  <c r="O418" i="1"/>
  <c r="R418" i="1" s="1"/>
  <c r="I418" i="1"/>
  <c r="Q417" i="1"/>
  <c r="P417" i="1"/>
  <c r="O417" i="1"/>
  <c r="I417" i="1"/>
  <c r="Q416" i="1"/>
  <c r="P416" i="1"/>
  <c r="O416" i="1"/>
  <c r="R416" i="1" s="1"/>
  <c r="I416" i="1"/>
  <c r="Q415" i="1"/>
  <c r="P415" i="1"/>
  <c r="O415" i="1"/>
  <c r="I415" i="1"/>
  <c r="Q414" i="1"/>
  <c r="P414" i="1"/>
  <c r="O414" i="1"/>
  <c r="R414" i="1" s="1"/>
  <c r="I414" i="1"/>
  <c r="Q413" i="1"/>
  <c r="P413" i="1"/>
  <c r="O413" i="1"/>
  <c r="R413" i="1" s="1"/>
  <c r="I413" i="1"/>
  <c r="Q412" i="1"/>
  <c r="P412" i="1"/>
  <c r="O412" i="1"/>
  <c r="R412" i="1" s="1"/>
  <c r="I412" i="1"/>
  <c r="Q411" i="1"/>
  <c r="P411" i="1"/>
  <c r="O411" i="1"/>
  <c r="I411" i="1"/>
  <c r="Q410" i="1"/>
  <c r="P410" i="1"/>
  <c r="O410" i="1"/>
  <c r="R410" i="1" s="1"/>
  <c r="I410" i="1"/>
  <c r="Q409" i="1"/>
  <c r="P409" i="1"/>
  <c r="O409" i="1"/>
  <c r="R409" i="1" s="1"/>
  <c r="I409" i="1"/>
  <c r="Q408" i="1"/>
  <c r="P408" i="1"/>
  <c r="O408" i="1"/>
  <c r="R408" i="1" s="1"/>
  <c r="I408" i="1"/>
  <c r="Q407" i="1"/>
  <c r="P407" i="1"/>
  <c r="O407" i="1"/>
  <c r="R407" i="1" s="1"/>
  <c r="I407" i="1"/>
  <c r="Q406" i="1"/>
  <c r="P406" i="1"/>
  <c r="O406" i="1"/>
  <c r="R406" i="1" s="1"/>
  <c r="I406" i="1"/>
  <c r="Q405" i="1"/>
  <c r="P405" i="1"/>
  <c r="O405" i="1"/>
  <c r="R405" i="1" s="1"/>
  <c r="I405" i="1"/>
  <c r="Q404" i="1"/>
  <c r="P404" i="1"/>
  <c r="O404" i="1"/>
  <c r="I404" i="1"/>
  <c r="Q403" i="1"/>
  <c r="P403" i="1"/>
  <c r="O403" i="1"/>
  <c r="R403" i="1" s="1"/>
  <c r="I403" i="1"/>
  <c r="Q402" i="1"/>
  <c r="P402" i="1"/>
  <c r="O402" i="1"/>
  <c r="I402" i="1"/>
  <c r="Q401" i="1"/>
  <c r="P401" i="1"/>
  <c r="O401" i="1"/>
  <c r="I401" i="1"/>
  <c r="Q400" i="1"/>
  <c r="P400" i="1"/>
  <c r="O400" i="1"/>
  <c r="R400" i="1" s="1"/>
  <c r="I400" i="1"/>
  <c r="Q399" i="1"/>
  <c r="P399" i="1"/>
  <c r="O399" i="1"/>
  <c r="R399" i="1" s="1"/>
  <c r="I399" i="1"/>
  <c r="Q398" i="1"/>
  <c r="P398" i="1"/>
  <c r="O398" i="1"/>
  <c r="R398" i="1" s="1"/>
  <c r="I398" i="1"/>
  <c r="Q397" i="1"/>
  <c r="P397" i="1"/>
  <c r="O397" i="1"/>
  <c r="I397" i="1"/>
  <c r="Q396" i="1"/>
  <c r="P396" i="1"/>
  <c r="O396" i="1"/>
  <c r="R396" i="1" s="1"/>
  <c r="I396" i="1"/>
  <c r="Q395" i="1"/>
  <c r="P395" i="1"/>
  <c r="O395" i="1"/>
  <c r="I395" i="1"/>
  <c r="Q394" i="1"/>
  <c r="P394" i="1"/>
  <c r="O394" i="1"/>
  <c r="I394" i="1"/>
  <c r="Q393" i="1"/>
  <c r="P393" i="1"/>
  <c r="O393" i="1"/>
  <c r="R393" i="1" s="1"/>
  <c r="I393" i="1"/>
  <c r="Q392" i="1"/>
  <c r="P392" i="1"/>
  <c r="O392" i="1"/>
  <c r="R392" i="1" s="1"/>
  <c r="I392" i="1"/>
  <c r="Q391" i="1"/>
  <c r="P391" i="1"/>
  <c r="O391" i="1"/>
  <c r="R391" i="1" s="1"/>
  <c r="I391" i="1"/>
  <c r="Q390" i="1"/>
  <c r="P390" i="1"/>
  <c r="O390" i="1"/>
  <c r="R390" i="1" s="1"/>
  <c r="I390" i="1"/>
  <c r="Q389" i="1"/>
  <c r="P389" i="1"/>
  <c r="O389" i="1"/>
  <c r="R389" i="1" s="1"/>
  <c r="I389" i="1"/>
  <c r="Q388" i="1"/>
  <c r="P388" i="1"/>
  <c r="O388" i="1"/>
  <c r="R388" i="1" s="1"/>
  <c r="I388" i="1"/>
  <c r="Q387" i="1"/>
  <c r="P387" i="1"/>
  <c r="O387" i="1"/>
  <c r="R387" i="1" s="1"/>
  <c r="I387" i="1"/>
  <c r="Q386" i="1"/>
  <c r="P386" i="1"/>
  <c r="O386" i="1"/>
  <c r="R386" i="1" s="1"/>
  <c r="I386" i="1"/>
  <c r="Q385" i="1"/>
  <c r="P385" i="1"/>
  <c r="O385" i="1"/>
  <c r="R385" i="1" s="1"/>
  <c r="I385" i="1"/>
  <c r="Q384" i="1"/>
  <c r="P384" i="1"/>
  <c r="O384" i="1"/>
  <c r="R384" i="1" s="1"/>
  <c r="I384" i="1"/>
  <c r="Q383" i="1"/>
  <c r="P383" i="1"/>
  <c r="O383" i="1"/>
  <c r="R383" i="1" s="1"/>
  <c r="I383" i="1"/>
  <c r="Q382" i="1"/>
  <c r="P382" i="1"/>
  <c r="O382" i="1"/>
  <c r="R382" i="1" s="1"/>
  <c r="I382" i="1"/>
  <c r="Q381" i="1"/>
  <c r="P381" i="1"/>
  <c r="O381" i="1"/>
  <c r="I381" i="1"/>
  <c r="Q380" i="1"/>
  <c r="P380" i="1"/>
  <c r="O380" i="1"/>
  <c r="R380" i="1" s="1"/>
  <c r="I380" i="1"/>
  <c r="Q379" i="1"/>
  <c r="P379" i="1"/>
  <c r="O379" i="1"/>
  <c r="R379" i="1" s="1"/>
  <c r="I379" i="1"/>
  <c r="Q378" i="1"/>
  <c r="P378" i="1"/>
  <c r="O378" i="1"/>
  <c r="I378" i="1"/>
  <c r="Q377" i="1"/>
  <c r="P377" i="1"/>
  <c r="O377" i="1"/>
  <c r="R377" i="1" s="1"/>
  <c r="I377" i="1"/>
  <c r="Q376" i="1"/>
  <c r="P376" i="1"/>
  <c r="O376" i="1"/>
  <c r="I376" i="1"/>
  <c r="Q375" i="1"/>
  <c r="P375" i="1"/>
  <c r="O375" i="1"/>
  <c r="I375" i="1"/>
  <c r="Q374" i="1"/>
  <c r="P374" i="1"/>
  <c r="O374" i="1"/>
  <c r="I374" i="1"/>
  <c r="Q373" i="1"/>
  <c r="P373" i="1"/>
  <c r="O373" i="1"/>
  <c r="I373" i="1"/>
  <c r="Q372" i="1"/>
  <c r="P372" i="1"/>
  <c r="O372" i="1"/>
  <c r="R372" i="1" s="1"/>
  <c r="I372" i="1"/>
  <c r="Q371" i="1"/>
  <c r="P371" i="1"/>
  <c r="O371" i="1"/>
  <c r="R371" i="1" s="1"/>
  <c r="I371" i="1"/>
  <c r="Q370" i="1"/>
  <c r="P370" i="1"/>
  <c r="O370" i="1"/>
  <c r="I370" i="1"/>
  <c r="Q369" i="1"/>
  <c r="P369" i="1"/>
  <c r="O369" i="1"/>
  <c r="I369" i="1"/>
  <c r="Q368" i="1"/>
  <c r="P368" i="1"/>
  <c r="O368" i="1"/>
  <c r="I368" i="1"/>
  <c r="Q367" i="1"/>
  <c r="P367" i="1"/>
  <c r="O367" i="1"/>
  <c r="I367" i="1"/>
  <c r="Q366" i="1"/>
  <c r="P366" i="1"/>
  <c r="O366" i="1"/>
  <c r="R366" i="1" s="1"/>
  <c r="I366" i="1"/>
  <c r="Q365" i="1"/>
  <c r="P365" i="1"/>
  <c r="O365" i="1"/>
  <c r="R365" i="1" s="1"/>
  <c r="I365" i="1"/>
  <c r="Q364" i="1"/>
  <c r="P364" i="1"/>
  <c r="O364" i="1"/>
  <c r="R364" i="1" s="1"/>
  <c r="I364" i="1"/>
  <c r="Q363" i="1"/>
  <c r="P363" i="1"/>
  <c r="O363" i="1"/>
  <c r="R363" i="1" s="1"/>
  <c r="I363" i="1"/>
  <c r="Q362" i="1"/>
  <c r="P362" i="1"/>
  <c r="O362" i="1"/>
  <c r="I362" i="1"/>
  <c r="Q361" i="1"/>
  <c r="P361" i="1"/>
  <c r="O361" i="1"/>
  <c r="I361" i="1"/>
  <c r="Q360" i="1"/>
  <c r="P360" i="1"/>
  <c r="O360" i="1"/>
  <c r="R360" i="1" s="1"/>
  <c r="I360" i="1"/>
  <c r="Q359" i="1"/>
  <c r="P359" i="1"/>
  <c r="O359" i="1"/>
  <c r="R359" i="1" s="1"/>
  <c r="I359" i="1"/>
  <c r="Q358" i="1"/>
  <c r="P358" i="1"/>
  <c r="O358" i="1"/>
  <c r="R358" i="1" s="1"/>
  <c r="I358" i="1"/>
  <c r="Q357" i="1"/>
  <c r="P357" i="1"/>
  <c r="O357" i="1"/>
  <c r="R357" i="1" s="1"/>
  <c r="I357" i="1"/>
  <c r="Q356" i="1"/>
  <c r="P356" i="1"/>
  <c r="O356" i="1"/>
  <c r="R356" i="1" s="1"/>
  <c r="I356" i="1"/>
  <c r="Q355" i="1"/>
  <c r="P355" i="1"/>
  <c r="O355" i="1"/>
  <c r="R355" i="1" s="1"/>
  <c r="I355" i="1"/>
  <c r="Q354" i="1"/>
  <c r="P354" i="1"/>
  <c r="O354" i="1"/>
  <c r="R354" i="1" s="1"/>
  <c r="I354" i="1"/>
  <c r="Q353" i="1"/>
  <c r="P353" i="1"/>
  <c r="O353" i="1"/>
  <c r="R353" i="1" s="1"/>
  <c r="I353" i="1"/>
  <c r="Q352" i="1"/>
  <c r="P352" i="1"/>
  <c r="O352" i="1"/>
  <c r="I352" i="1"/>
  <c r="Q351" i="1"/>
  <c r="P351" i="1"/>
  <c r="O351" i="1"/>
  <c r="R351" i="1" s="1"/>
  <c r="I351" i="1"/>
  <c r="Q350" i="1"/>
  <c r="P350" i="1"/>
  <c r="O350" i="1"/>
  <c r="R350" i="1" s="1"/>
  <c r="I350" i="1"/>
  <c r="Q349" i="1"/>
  <c r="P349" i="1"/>
  <c r="O349" i="1"/>
  <c r="I349" i="1"/>
  <c r="Q348" i="1"/>
  <c r="P348" i="1"/>
  <c r="O348" i="1"/>
  <c r="R348" i="1" s="1"/>
  <c r="I348" i="1"/>
  <c r="Q347" i="1"/>
  <c r="P347" i="1"/>
  <c r="O347" i="1"/>
  <c r="R347" i="1" s="1"/>
  <c r="I347" i="1"/>
  <c r="Q346" i="1"/>
  <c r="P346" i="1"/>
  <c r="O346" i="1"/>
  <c r="R346" i="1" s="1"/>
  <c r="I346" i="1"/>
  <c r="Q345" i="1"/>
  <c r="P345" i="1"/>
  <c r="O345" i="1"/>
  <c r="R345" i="1" s="1"/>
  <c r="I345" i="1"/>
  <c r="Q344" i="1"/>
  <c r="P344" i="1"/>
  <c r="O344" i="1"/>
  <c r="R344" i="1" s="1"/>
  <c r="I344" i="1"/>
  <c r="Q343" i="1"/>
  <c r="P343" i="1"/>
  <c r="O343" i="1"/>
  <c r="R343" i="1" s="1"/>
  <c r="I343" i="1"/>
  <c r="Q342" i="1"/>
  <c r="P342" i="1"/>
  <c r="O342" i="1"/>
  <c r="R342" i="1" s="1"/>
  <c r="I342" i="1"/>
  <c r="Q341" i="1"/>
  <c r="P341" i="1"/>
  <c r="O341" i="1"/>
  <c r="R341" i="1" s="1"/>
  <c r="I341" i="1"/>
  <c r="Q340" i="1"/>
  <c r="P340" i="1"/>
  <c r="O340" i="1"/>
  <c r="I340" i="1"/>
  <c r="Q339" i="1"/>
  <c r="P339" i="1"/>
  <c r="O339" i="1"/>
  <c r="I339" i="1"/>
  <c r="Q338" i="1"/>
  <c r="P338" i="1"/>
  <c r="O338" i="1"/>
  <c r="I338" i="1"/>
  <c r="Q337" i="1"/>
  <c r="P337" i="1"/>
  <c r="O337" i="1"/>
  <c r="I337" i="1"/>
  <c r="Q336" i="1"/>
  <c r="P336" i="1"/>
  <c r="O336" i="1"/>
  <c r="R336" i="1" s="1"/>
  <c r="I336" i="1"/>
  <c r="Q335" i="1"/>
  <c r="P335" i="1"/>
  <c r="O335" i="1"/>
  <c r="R335" i="1" s="1"/>
  <c r="I335" i="1"/>
  <c r="Q334" i="1"/>
  <c r="P334" i="1"/>
  <c r="O334" i="1"/>
  <c r="I334" i="1"/>
  <c r="Q333" i="1"/>
  <c r="P333" i="1"/>
  <c r="O333" i="1"/>
  <c r="I333" i="1"/>
  <c r="Q332" i="1"/>
  <c r="P332" i="1"/>
  <c r="O332" i="1"/>
  <c r="R332" i="1" s="1"/>
  <c r="I332" i="1"/>
  <c r="Q331" i="1"/>
  <c r="P331" i="1"/>
  <c r="O331" i="1"/>
  <c r="I331" i="1"/>
  <c r="Q330" i="1"/>
  <c r="P330" i="1"/>
  <c r="O330" i="1"/>
  <c r="I330" i="1"/>
  <c r="Q329" i="1"/>
  <c r="P329" i="1"/>
  <c r="O329" i="1"/>
  <c r="I329" i="1"/>
  <c r="Q328" i="1"/>
  <c r="P328" i="1"/>
  <c r="O328" i="1"/>
  <c r="R328" i="1" s="1"/>
  <c r="I328" i="1"/>
  <c r="Q327" i="1"/>
  <c r="P327" i="1"/>
  <c r="O327" i="1"/>
  <c r="R327" i="1" s="1"/>
  <c r="I327" i="1"/>
  <c r="Q326" i="1"/>
  <c r="P326" i="1"/>
  <c r="O326" i="1"/>
  <c r="I326" i="1"/>
  <c r="Q325" i="1"/>
  <c r="P325" i="1"/>
  <c r="O325" i="1"/>
  <c r="I325" i="1"/>
  <c r="Q324" i="1"/>
  <c r="P324" i="1"/>
  <c r="O324" i="1"/>
  <c r="I324" i="1"/>
  <c r="Q323" i="1"/>
  <c r="P323" i="1"/>
  <c r="O323" i="1"/>
  <c r="R323" i="1" s="1"/>
  <c r="I323" i="1"/>
  <c r="Q322" i="1"/>
  <c r="P322" i="1"/>
  <c r="O322" i="1"/>
  <c r="R322" i="1" s="1"/>
  <c r="I322" i="1"/>
  <c r="Q321" i="1"/>
  <c r="P321" i="1"/>
  <c r="O321" i="1"/>
  <c r="R321" i="1" s="1"/>
  <c r="I321" i="1"/>
  <c r="Q320" i="1"/>
  <c r="P320" i="1"/>
  <c r="O320" i="1"/>
  <c r="R320" i="1" s="1"/>
  <c r="I320" i="1"/>
  <c r="Q319" i="1"/>
  <c r="P319" i="1"/>
  <c r="O319" i="1"/>
  <c r="I319" i="1"/>
  <c r="Q318" i="1"/>
  <c r="P318" i="1"/>
  <c r="O318" i="1"/>
  <c r="R318" i="1" s="1"/>
  <c r="I318" i="1"/>
  <c r="Q317" i="1"/>
  <c r="P317" i="1"/>
  <c r="O317" i="1"/>
  <c r="R317" i="1" s="1"/>
  <c r="I317" i="1"/>
  <c r="Q316" i="1"/>
  <c r="P316" i="1"/>
  <c r="O316" i="1"/>
  <c r="R316" i="1" s="1"/>
  <c r="I316" i="1"/>
  <c r="Q315" i="1"/>
  <c r="P315" i="1"/>
  <c r="O315" i="1"/>
  <c r="R315" i="1" s="1"/>
  <c r="I315" i="1"/>
  <c r="Q314" i="1"/>
  <c r="P314" i="1"/>
  <c r="O314" i="1"/>
  <c r="R314" i="1" s="1"/>
  <c r="I314" i="1"/>
  <c r="Q313" i="1"/>
  <c r="P313" i="1"/>
  <c r="O313" i="1"/>
  <c r="I313" i="1"/>
  <c r="Q312" i="1"/>
  <c r="P312" i="1"/>
  <c r="O312" i="1"/>
  <c r="I312" i="1"/>
  <c r="Q311" i="1"/>
  <c r="P311" i="1"/>
  <c r="O311" i="1"/>
  <c r="I311" i="1"/>
  <c r="Q310" i="1"/>
  <c r="P310" i="1"/>
  <c r="O310" i="1"/>
  <c r="R310" i="1" s="1"/>
  <c r="I310" i="1"/>
  <c r="Q309" i="1"/>
  <c r="P309" i="1"/>
  <c r="O309" i="1"/>
  <c r="I309" i="1"/>
  <c r="Q308" i="1"/>
  <c r="P308" i="1"/>
  <c r="O308" i="1"/>
  <c r="R308" i="1" s="1"/>
  <c r="I308" i="1"/>
  <c r="Q307" i="1"/>
  <c r="P307" i="1"/>
  <c r="O307" i="1"/>
  <c r="I307" i="1"/>
  <c r="Q306" i="1"/>
  <c r="P306" i="1"/>
  <c r="O306" i="1"/>
  <c r="I306" i="1"/>
  <c r="Q305" i="1"/>
  <c r="P305" i="1"/>
  <c r="O305" i="1"/>
  <c r="R305" i="1" s="1"/>
  <c r="I305" i="1"/>
  <c r="Q304" i="1"/>
  <c r="P304" i="1"/>
  <c r="O304" i="1"/>
  <c r="R304" i="1" s="1"/>
  <c r="I304" i="1"/>
  <c r="Q303" i="1"/>
  <c r="P303" i="1"/>
  <c r="O303" i="1"/>
  <c r="R303" i="1" s="1"/>
  <c r="I303" i="1"/>
  <c r="Q302" i="1"/>
  <c r="P302" i="1"/>
  <c r="O302" i="1"/>
  <c r="R302" i="1" s="1"/>
  <c r="I302" i="1"/>
  <c r="Q301" i="1"/>
  <c r="P301" i="1"/>
  <c r="O301" i="1"/>
  <c r="R301" i="1" s="1"/>
  <c r="I301" i="1"/>
  <c r="Q300" i="1"/>
  <c r="P300" i="1"/>
  <c r="O300" i="1"/>
  <c r="R300" i="1" s="1"/>
  <c r="I300" i="1"/>
  <c r="Q299" i="1"/>
  <c r="P299" i="1"/>
  <c r="O299" i="1"/>
  <c r="I299" i="1"/>
  <c r="Q298" i="1"/>
  <c r="P298" i="1"/>
  <c r="O298" i="1"/>
  <c r="R298" i="1" s="1"/>
  <c r="I298" i="1"/>
  <c r="Q297" i="1"/>
  <c r="P297" i="1"/>
  <c r="O297" i="1"/>
  <c r="R297" i="1" s="1"/>
  <c r="I297" i="1"/>
  <c r="Q296" i="1"/>
  <c r="P296" i="1"/>
  <c r="O296" i="1"/>
  <c r="R296" i="1" s="1"/>
  <c r="I296" i="1"/>
  <c r="Q295" i="1"/>
  <c r="P295" i="1"/>
  <c r="O295" i="1"/>
  <c r="I295" i="1"/>
  <c r="Q294" i="1"/>
  <c r="P294" i="1"/>
  <c r="O294" i="1"/>
  <c r="R294" i="1" s="1"/>
  <c r="I294" i="1"/>
  <c r="Q293" i="1"/>
  <c r="P293" i="1"/>
  <c r="O293" i="1"/>
  <c r="R293" i="1" s="1"/>
  <c r="I293" i="1"/>
  <c r="Q292" i="1"/>
  <c r="P292" i="1"/>
  <c r="O292" i="1"/>
  <c r="I292" i="1"/>
  <c r="Q291" i="1"/>
  <c r="P291" i="1"/>
  <c r="O291" i="1"/>
  <c r="R291" i="1" s="1"/>
  <c r="I291" i="1"/>
  <c r="Q290" i="1"/>
  <c r="P290" i="1"/>
  <c r="O290" i="1"/>
  <c r="R290" i="1" s="1"/>
  <c r="I290" i="1"/>
  <c r="Q289" i="1"/>
  <c r="P289" i="1"/>
  <c r="O289" i="1"/>
  <c r="I289" i="1"/>
  <c r="Q288" i="1"/>
  <c r="P288" i="1"/>
  <c r="O288" i="1"/>
  <c r="R288" i="1" s="1"/>
  <c r="I288" i="1"/>
  <c r="Q287" i="1"/>
  <c r="P287" i="1"/>
  <c r="O287" i="1"/>
  <c r="R287" i="1" s="1"/>
  <c r="I287" i="1"/>
  <c r="Q286" i="1"/>
  <c r="P286" i="1"/>
  <c r="O286" i="1"/>
  <c r="R286" i="1" s="1"/>
  <c r="I286" i="1"/>
  <c r="Q285" i="1"/>
  <c r="P285" i="1"/>
  <c r="O285" i="1"/>
  <c r="R285" i="1" s="1"/>
  <c r="I285" i="1"/>
  <c r="Q284" i="1"/>
  <c r="P284" i="1"/>
  <c r="O284" i="1"/>
  <c r="R284" i="1" s="1"/>
  <c r="I284" i="1"/>
  <c r="Q283" i="1"/>
  <c r="P283" i="1"/>
  <c r="O283" i="1"/>
  <c r="R283" i="1" s="1"/>
  <c r="I283" i="1"/>
  <c r="Q282" i="1"/>
  <c r="P282" i="1"/>
  <c r="O282" i="1"/>
  <c r="I282" i="1"/>
  <c r="Q281" i="1"/>
  <c r="P281" i="1"/>
  <c r="O281" i="1"/>
  <c r="R281" i="1" s="1"/>
  <c r="I281" i="1"/>
  <c r="Q280" i="1"/>
  <c r="P280" i="1"/>
  <c r="O280" i="1"/>
  <c r="I280" i="1"/>
  <c r="Q279" i="1"/>
  <c r="P279" i="1"/>
  <c r="O279" i="1"/>
  <c r="I279" i="1"/>
  <c r="Q278" i="1"/>
  <c r="P278" i="1"/>
  <c r="O278" i="1"/>
  <c r="I278" i="1"/>
  <c r="Q277" i="1"/>
  <c r="P277" i="1"/>
  <c r="O277" i="1"/>
  <c r="R277" i="1" s="1"/>
  <c r="I277" i="1"/>
  <c r="Q276" i="1"/>
  <c r="P276" i="1"/>
  <c r="O276" i="1"/>
  <c r="R276" i="1" s="1"/>
  <c r="I276" i="1"/>
  <c r="Q275" i="1"/>
  <c r="P275" i="1"/>
  <c r="O275" i="1"/>
  <c r="R275" i="1" s="1"/>
  <c r="I275" i="1"/>
  <c r="Q274" i="1"/>
  <c r="P274" i="1"/>
  <c r="O274" i="1"/>
  <c r="R274" i="1" s="1"/>
  <c r="I274" i="1"/>
  <c r="Q273" i="1"/>
  <c r="P273" i="1"/>
  <c r="O273" i="1"/>
  <c r="I273" i="1"/>
  <c r="Q272" i="1"/>
  <c r="P272" i="1"/>
  <c r="O272" i="1"/>
  <c r="R272" i="1" s="1"/>
  <c r="I272" i="1"/>
  <c r="Q271" i="1"/>
  <c r="P271" i="1"/>
  <c r="O271" i="1"/>
  <c r="I271" i="1"/>
  <c r="Q270" i="1"/>
  <c r="P270" i="1"/>
  <c r="O270" i="1"/>
  <c r="I270" i="1"/>
  <c r="Q269" i="1"/>
  <c r="P269" i="1"/>
  <c r="O269" i="1"/>
  <c r="I269" i="1"/>
  <c r="Q268" i="1"/>
  <c r="P268" i="1"/>
  <c r="O268" i="1"/>
  <c r="R268" i="1" s="1"/>
  <c r="I268" i="1"/>
  <c r="Q267" i="1"/>
  <c r="P267" i="1"/>
  <c r="O267" i="1"/>
  <c r="R267" i="1" s="1"/>
  <c r="I267" i="1"/>
  <c r="Q266" i="1"/>
  <c r="P266" i="1"/>
  <c r="O266" i="1"/>
  <c r="I266" i="1"/>
  <c r="Q265" i="1"/>
  <c r="P265" i="1"/>
  <c r="O265" i="1"/>
  <c r="I265" i="1"/>
  <c r="Q264" i="1"/>
  <c r="P264" i="1"/>
  <c r="O264" i="1"/>
  <c r="R264" i="1" s="1"/>
  <c r="I264" i="1"/>
  <c r="Q263" i="1"/>
  <c r="P263" i="1"/>
  <c r="O263" i="1"/>
  <c r="I263" i="1"/>
  <c r="Q262" i="1"/>
  <c r="P262" i="1"/>
  <c r="O262" i="1"/>
  <c r="R262" i="1" s="1"/>
  <c r="I262" i="1"/>
  <c r="Q261" i="1"/>
  <c r="P261" i="1"/>
  <c r="O261" i="1"/>
  <c r="R261" i="1" s="1"/>
  <c r="I261" i="1"/>
  <c r="Q260" i="1"/>
  <c r="P260" i="1"/>
  <c r="O260" i="1"/>
  <c r="I260" i="1"/>
  <c r="Q259" i="1"/>
  <c r="P259" i="1"/>
  <c r="O259" i="1"/>
  <c r="R259" i="1" s="1"/>
  <c r="I259" i="1"/>
  <c r="Q258" i="1"/>
  <c r="P258" i="1"/>
  <c r="O258" i="1"/>
  <c r="R258" i="1" s="1"/>
  <c r="I258" i="1"/>
  <c r="Q257" i="1"/>
  <c r="P257" i="1"/>
  <c r="O257" i="1"/>
  <c r="R257" i="1" s="1"/>
  <c r="I257" i="1"/>
  <c r="Q256" i="1"/>
  <c r="P256" i="1"/>
  <c r="O256" i="1"/>
  <c r="R256" i="1" s="1"/>
  <c r="I256" i="1"/>
  <c r="Q255" i="1"/>
  <c r="P255" i="1"/>
  <c r="O255" i="1"/>
  <c r="R255" i="1" s="1"/>
  <c r="I255" i="1"/>
  <c r="Q254" i="1"/>
  <c r="P254" i="1"/>
  <c r="O254" i="1"/>
  <c r="R254" i="1" s="1"/>
  <c r="I254" i="1"/>
  <c r="Q253" i="1"/>
  <c r="P253" i="1"/>
  <c r="O253" i="1"/>
  <c r="R253" i="1" s="1"/>
  <c r="I253" i="1"/>
  <c r="Q252" i="1"/>
  <c r="P252" i="1"/>
  <c r="O252" i="1"/>
  <c r="I252" i="1"/>
  <c r="Q251" i="1"/>
  <c r="P251" i="1"/>
  <c r="O251" i="1"/>
  <c r="R251" i="1" s="1"/>
  <c r="I251" i="1"/>
  <c r="Q250" i="1"/>
  <c r="P250" i="1"/>
  <c r="O250" i="1"/>
  <c r="R250" i="1" s="1"/>
  <c r="I250" i="1"/>
  <c r="Q249" i="1"/>
  <c r="P249" i="1"/>
  <c r="O249" i="1"/>
  <c r="I249" i="1"/>
  <c r="Q248" i="1"/>
  <c r="P248" i="1"/>
  <c r="O248" i="1"/>
  <c r="R248" i="1" s="1"/>
  <c r="I248" i="1"/>
  <c r="Q247" i="1"/>
  <c r="P247" i="1"/>
  <c r="O247" i="1"/>
  <c r="R247" i="1" s="1"/>
  <c r="I247" i="1"/>
  <c r="Q246" i="1"/>
  <c r="P246" i="1"/>
  <c r="O246" i="1"/>
  <c r="R246" i="1" s="1"/>
  <c r="I246" i="1"/>
  <c r="Q245" i="1"/>
  <c r="P245" i="1"/>
  <c r="O245" i="1"/>
  <c r="R245" i="1" s="1"/>
  <c r="I245" i="1"/>
  <c r="Q244" i="1"/>
  <c r="P244" i="1"/>
  <c r="O244" i="1"/>
  <c r="I244" i="1"/>
  <c r="Q243" i="1"/>
  <c r="P243" i="1"/>
  <c r="O243" i="1"/>
  <c r="R243" i="1" s="1"/>
  <c r="I243" i="1"/>
  <c r="Q242" i="1"/>
  <c r="P242" i="1"/>
  <c r="O242" i="1"/>
  <c r="R242" i="1" s="1"/>
  <c r="I242" i="1"/>
  <c r="Q241" i="1"/>
  <c r="P241" i="1"/>
  <c r="O241" i="1"/>
  <c r="I241" i="1"/>
  <c r="Q240" i="1"/>
  <c r="P240" i="1"/>
  <c r="O240" i="1"/>
  <c r="I240" i="1"/>
  <c r="Q239" i="1"/>
  <c r="P239" i="1"/>
  <c r="O239" i="1"/>
  <c r="I239" i="1"/>
  <c r="Q238" i="1"/>
  <c r="P238" i="1"/>
  <c r="O238" i="1"/>
  <c r="R238" i="1" s="1"/>
  <c r="I238" i="1"/>
  <c r="Q237" i="1"/>
  <c r="P237" i="1"/>
  <c r="O237" i="1"/>
  <c r="I237" i="1"/>
  <c r="Q236" i="1"/>
  <c r="P236" i="1"/>
  <c r="O236" i="1"/>
  <c r="I236" i="1"/>
  <c r="Q235" i="1"/>
  <c r="P235" i="1"/>
  <c r="O235" i="1"/>
  <c r="R235" i="1" s="1"/>
  <c r="I235" i="1"/>
  <c r="Q234" i="1"/>
  <c r="P234" i="1"/>
  <c r="O234" i="1"/>
  <c r="I234" i="1"/>
  <c r="Q233" i="1"/>
  <c r="P233" i="1"/>
  <c r="O233" i="1"/>
  <c r="R233" i="1" s="1"/>
  <c r="I233" i="1"/>
  <c r="Q232" i="1"/>
  <c r="P232" i="1"/>
  <c r="O232" i="1"/>
  <c r="R232" i="1" s="1"/>
  <c r="I232" i="1"/>
  <c r="Q231" i="1"/>
  <c r="P231" i="1"/>
  <c r="O231" i="1"/>
  <c r="R231" i="1" s="1"/>
  <c r="I231" i="1"/>
  <c r="Q230" i="1"/>
  <c r="P230" i="1"/>
  <c r="O230" i="1"/>
  <c r="R230" i="1" s="1"/>
  <c r="I230" i="1"/>
  <c r="Q229" i="1"/>
  <c r="P229" i="1"/>
  <c r="O229" i="1"/>
  <c r="R229" i="1" s="1"/>
  <c r="I229" i="1"/>
  <c r="Q228" i="1"/>
  <c r="P228" i="1"/>
  <c r="O228" i="1"/>
  <c r="I228" i="1"/>
  <c r="Q227" i="1"/>
  <c r="P227" i="1"/>
  <c r="O227" i="1"/>
  <c r="R227" i="1" s="1"/>
  <c r="I227" i="1"/>
  <c r="Q226" i="1"/>
  <c r="P226" i="1"/>
  <c r="O226" i="1"/>
  <c r="R226" i="1" s="1"/>
  <c r="I226" i="1"/>
  <c r="Q225" i="1"/>
  <c r="P225" i="1"/>
  <c r="O225" i="1"/>
  <c r="I225" i="1"/>
  <c r="Q224" i="1"/>
  <c r="P224" i="1"/>
  <c r="O224" i="1"/>
  <c r="I224" i="1"/>
  <c r="Q223" i="1"/>
  <c r="P223" i="1"/>
  <c r="O223" i="1"/>
  <c r="R223" i="1" s="1"/>
  <c r="I223" i="1"/>
  <c r="Q222" i="1"/>
  <c r="P222" i="1"/>
  <c r="O222" i="1"/>
  <c r="I222" i="1"/>
  <c r="Q221" i="1"/>
  <c r="P221" i="1"/>
  <c r="O221" i="1"/>
  <c r="R221" i="1" s="1"/>
  <c r="I221" i="1"/>
  <c r="Q220" i="1"/>
  <c r="P220" i="1"/>
  <c r="O220" i="1"/>
  <c r="I220" i="1"/>
  <c r="Q219" i="1"/>
  <c r="P219" i="1"/>
  <c r="O219" i="1"/>
  <c r="R219" i="1" s="1"/>
  <c r="I219" i="1"/>
  <c r="Q218" i="1"/>
  <c r="P218" i="1"/>
  <c r="O218" i="1"/>
  <c r="R218" i="1" s="1"/>
  <c r="I218" i="1"/>
  <c r="Q217" i="1"/>
  <c r="P217" i="1"/>
  <c r="O217" i="1"/>
  <c r="I217" i="1"/>
  <c r="Q216" i="1"/>
  <c r="P216" i="1"/>
  <c r="O216" i="1"/>
  <c r="R216" i="1" s="1"/>
  <c r="I216" i="1"/>
  <c r="Q215" i="1"/>
  <c r="P215" i="1"/>
  <c r="O215" i="1"/>
  <c r="I215" i="1"/>
  <c r="Q214" i="1"/>
  <c r="P214" i="1"/>
  <c r="O214" i="1"/>
  <c r="R214" i="1" s="1"/>
  <c r="I214" i="1"/>
  <c r="Q213" i="1"/>
  <c r="P213" i="1"/>
  <c r="O213" i="1"/>
  <c r="R213" i="1" s="1"/>
  <c r="I213" i="1"/>
  <c r="Q212" i="1"/>
  <c r="P212" i="1"/>
  <c r="O212" i="1"/>
  <c r="R212" i="1" s="1"/>
  <c r="I212" i="1"/>
  <c r="Q211" i="1"/>
  <c r="P211" i="1"/>
  <c r="O211" i="1"/>
  <c r="R211" i="1" s="1"/>
  <c r="I211" i="1"/>
  <c r="Q210" i="1"/>
  <c r="P210" i="1"/>
  <c r="O210" i="1"/>
  <c r="R210" i="1" s="1"/>
  <c r="I210" i="1"/>
  <c r="Q209" i="1"/>
  <c r="P209" i="1"/>
  <c r="O209" i="1"/>
  <c r="I209" i="1"/>
  <c r="Q208" i="1"/>
  <c r="P208" i="1"/>
  <c r="O208" i="1"/>
  <c r="I208" i="1"/>
  <c r="Q207" i="1"/>
  <c r="P207" i="1"/>
  <c r="O207" i="1"/>
  <c r="R207" i="1" s="1"/>
  <c r="I207" i="1"/>
  <c r="Q206" i="1"/>
  <c r="P206" i="1"/>
  <c r="O206" i="1"/>
  <c r="I206" i="1"/>
  <c r="Q205" i="1"/>
  <c r="P205" i="1"/>
  <c r="O205" i="1"/>
  <c r="I205" i="1"/>
  <c r="Q204" i="1"/>
  <c r="P204" i="1"/>
  <c r="O204" i="1"/>
  <c r="R204" i="1" s="1"/>
  <c r="I204" i="1"/>
  <c r="Q203" i="1"/>
  <c r="P203" i="1"/>
  <c r="O203" i="1"/>
  <c r="R203" i="1" s="1"/>
  <c r="I203" i="1"/>
  <c r="Q202" i="1"/>
  <c r="P202" i="1"/>
  <c r="O202" i="1"/>
  <c r="I202" i="1"/>
  <c r="Q201" i="1"/>
  <c r="P201" i="1"/>
  <c r="O201" i="1"/>
  <c r="I201" i="1"/>
  <c r="Q200" i="1"/>
  <c r="P200" i="1"/>
  <c r="O200" i="1"/>
  <c r="R200" i="1" s="1"/>
  <c r="I200" i="1"/>
  <c r="Q199" i="1"/>
  <c r="P199" i="1"/>
  <c r="O199" i="1"/>
  <c r="R199" i="1" s="1"/>
  <c r="I199" i="1"/>
  <c r="Q198" i="1"/>
  <c r="P198" i="1"/>
  <c r="O198" i="1"/>
  <c r="R198" i="1" s="1"/>
  <c r="I198" i="1"/>
  <c r="Q197" i="1"/>
  <c r="P197" i="1"/>
  <c r="O197" i="1"/>
  <c r="R197" i="1" s="1"/>
  <c r="I197" i="1"/>
  <c r="Q196" i="1"/>
  <c r="P196" i="1"/>
  <c r="O196" i="1"/>
  <c r="I196" i="1"/>
  <c r="Q195" i="1"/>
  <c r="P195" i="1"/>
  <c r="O195" i="1"/>
  <c r="R195" i="1" s="1"/>
  <c r="I195" i="1"/>
  <c r="Q194" i="1"/>
  <c r="P194" i="1"/>
  <c r="O194" i="1"/>
  <c r="I194" i="1"/>
  <c r="Q193" i="1"/>
  <c r="P193" i="1"/>
  <c r="O193" i="1"/>
  <c r="I193" i="1"/>
  <c r="Q192" i="1"/>
  <c r="P192" i="1"/>
  <c r="O192" i="1"/>
  <c r="I192" i="1"/>
  <c r="Q191" i="1"/>
  <c r="P191" i="1"/>
  <c r="O191" i="1"/>
  <c r="I191" i="1"/>
  <c r="Q190" i="1"/>
  <c r="P190" i="1"/>
  <c r="O190" i="1"/>
  <c r="R190" i="1" s="1"/>
  <c r="I190" i="1"/>
  <c r="Q189" i="1"/>
  <c r="P189" i="1"/>
  <c r="O189" i="1"/>
  <c r="R189" i="1" s="1"/>
  <c r="I189" i="1"/>
  <c r="Q188" i="1"/>
  <c r="P188" i="1"/>
  <c r="O188" i="1"/>
  <c r="I188" i="1"/>
  <c r="Q187" i="1"/>
  <c r="P187" i="1"/>
  <c r="O187" i="1"/>
  <c r="R187" i="1" s="1"/>
  <c r="I187" i="1"/>
  <c r="Q186" i="1"/>
  <c r="P186" i="1"/>
  <c r="O186" i="1"/>
  <c r="I186" i="1"/>
  <c r="Q185" i="1"/>
  <c r="P185" i="1"/>
  <c r="O185" i="1"/>
  <c r="R185" i="1" s="1"/>
  <c r="I185" i="1"/>
  <c r="Q184" i="1"/>
  <c r="P184" i="1"/>
  <c r="O184" i="1"/>
  <c r="R184" i="1" s="1"/>
  <c r="I184" i="1"/>
  <c r="Q183" i="1"/>
  <c r="P183" i="1"/>
  <c r="O183" i="1"/>
  <c r="I183" i="1"/>
  <c r="Q182" i="1"/>
  <c r="P182" i="1"/>
  <c r="O182" i="1"/>
  <c r="R182" i="1" s="1"/>
  <c r="I182" i="1"/>
  <c r="Q181" i="1"/>
  <c r="P181" i="1"/>
  <c r="O181" i="1"/>
  <c r="I181" i="1"/>
  <c r="Q180" i="1"/>
  <c r="P180" i="1"/>
  <c r="O180" i="1"/>
  <c r="R180" i="1" s="1"/>
  <c r="I180" i="1"/>
  <c r="Q179" i="1"/>
  <c r="P179" i="1"/>
  <c r="O179" i="1"/>
  <c r="I179" i="1"/>
  <c r="Q178" i="1"/>
  <c r="P178" i="1"/>
  <c r="O178" i="1"/>
  <c r="R178" i="1" s="1"/>
  <c r="I178" i="1"/>
  <c r="Q177" i="1"/>
  <c r="P177" i="1"/>
  <c r="O177" i="1"/>
  <c r="I177" i="1"/>
  <c r="Q176" i="1"/>
  <c r="P176" i="1"/>
  <c r="O176" i="1"/>
  <c r="I176" i="1"/>
  <c r="Q175" i="1"/>
  <c r="P175" i="1"/>
  <c r="O175" i="1"/>
  <c r="I175" i="1"/>
  <c r="Q174" i="1"/>
  <c r="P174" i="1"/>
  <c r="O174" i="1"/>
  <c r="I174" i="1"/>
  <c r="Q173" i="1"/>
  <c r="P173" i="1"/>
  <c r="O173" i="1"/>
  <c r="R173" i="1" s="1"/>
  <c r="I173" i="1"/>
  <c r="Q172" i="1"/>
  <c r="P172" i="1"/>
  <c r="O172" i="1"/>
  <c r="I172" i="1"/>
  <c r="Q171" i="1"/>
  <c r="P171" i="1"/>
  <c r="O171" i="1"/>
  <c r="I171" i="1"/>
  <c r="Q170" i="1"/>
  <c r="P170" i="1"/>
  <c r="O170" i="1"/>
  <c r="R170" i="1" s="1"/>
  <c r="I170" i="1"/>
  <c r="Q169" i="1"/>
  <c r="P169" i="1"/>
  <c r="O169" i="1"/>
  <c r="R169" i="1" s="1"/>
  <c r="I169" i="1"/>
  <c r="Q168" i="1"/>
  <c r="P168" i="1"/>
  <c r="O168" i="1"/>
  <c r="I168" i="1"/>
  <c r="Q167" i="1"/>
  <c r="P167" i="1"/>
  <c r="O167" i="1"/>
  <c r="R167" i="1" s="1"/>
  <c r="I167" i="1"/>
  <c r="Q166" i="1"/>
  <c r="P166" i="1"/>
  <c r="O166" i="1"/>
  <c r="R166" i="1" s="1"/>
  <c r="I166" i="1"/>
  <c r="Q165" i="1"/>
  <c r="P165" i="1"/>
  <c r="O165" i="1"/>
  <c r="R165" i="1" s="1"/>
  <c r="I165" i="1"/>
  <c r="Q164" i="1"/>
  <c r="P164" i="1"/>
  <c r="O164" i="1"/>
  <c r="R164" i="1" s="1"/>
  <c r="I164" i="1"/>
  <c r="Q163" i="1"/>
  <c r="P163" i="1"/>
  <c r="O163" i="1"/>
  <c r="R163" i="1" s="1"/>
  <c r="I163" i="1"/>
  <c r="Q162" i="1"/>
  <c r="P162" i="1"/>
  <c r="O162" i="1"/>
  <c r="I162" i="1"/>
  <c r="Q161" i="1"/>
  <c r="P161" i="1"/>
  <c r="O161" i="1"/>
  <c r="I161" i="1"/>
  <c r="Q160" i="1"/>
  <c r="P160" i="1"/>
  <c r="O160" i="1"/>
  <c r="I160" i="1"/>
  <c r="Q159" i="1"/>
  <c r="P159" i="1"/>
  <c r="O159" i="1"/>
  <c r="I159" i="1"/>
  <c r="Q158" i="1"/>
  <c r="P158" i="1"/>
  <c r="O158" i="1"/>
  <c r="R158" i="1" s="1"/>
  <c r="I158" i="1"/>
  <c r="Q157" i="1"/>
  <c r="P157" i="1"/>
  <c r="O157" i="1"/>
  <c r="I157" i="1"/>
  <c r="Q156" i="1"/>
  <c r="P156" i="1"/>
  <c r="O156" i="1"/>
  <c r="I156" i="1"/>
  <c r="Q155" i="1"/>
  <c r="P155" i="1"/>
  <c r="O155" i="1"/>
  <c r="I155" i="1"/>
  <c r="Q154" i="1"/>
  <c r="P154" i="1"/>
  <c r="O154" i="1"/>
  <c r="I154" i="1"/>
  <c r="Q153" i="1"/>
  <c r="P153" i="1"/>
  <c r="O153" i="1"/>
  <c r="R153" i="1" s="1"/>
  <c r="I153" i="1"/>
  <c r="Q152" i="1"/>
  <c r="P152" i="1"/>
  <c r="O152" i="1"/>
  <c r="I152" i="1"/>
  <c r="Q151" i="1"/>
  <c r="P151" i="1"/>
  <c r="O151" i="1"/>
  <c r="I151" i="1"/>
  <c r="Q150" i="1"/>
  <c r="P150" i="1"/>
  <c r="O150" i="1"/>
  <c r="I150" i="1"/>
  <c r="Q149" i="1"/>
  <c r="P149" i="1"/>
  <c r="O149" i="1"/>
  <c r="I149" i="1"/>
  <c r="Q148" i="1"/>
  <c r="P148" i="1"/>
  <c r="O148" i="1"/>
  <c r="R148" i="1" s="1"/>
  <c r="I148" i="1"/>
  <c r="Q147" i="1"/>
  <c r="P147" i="1"/>
  <c r="O147" i="1"/>
  <c r="R147" i="1" s="1"/>
  <c r="I147" i="1"/>
  <c r="Q146" i="1"/>
  <c r="P146" i="1"/>
  <c r="O146" i="1"/>
  <c r="R146" i="1" s="1"/>
  <c r="I146" i="1"/>
  <c r="Q145" i="1"/>
  <c r="P145" i="1"/>
  <c r="O145" i="1"/>
  <c r="I145" i="1"/>
  <c r="Q144" i="1"/>
  <c r="P144" i="1"/>
  <c r="O144" i="1"/>
  <c r="R144" i="1" s="1"/>
  <c r="I144" i="1"/>
  <c r="Q143" i="1"/>
  <c r="P143" i="1"/>
  <c r="O143" i="1"/>
  <c r="R143" i="1" s="1"/>
  <c r="I143" i="1"/>
  <c r="Q142" i="1"/>
  <c r="P142" i="1"/>
  <c r="O142" i="1"/>
  <c r="R142" i="1" s="1"/>
  <c r="I142" i="1"/>
  <c r="Q141" i="1"/>
  <c r="P141" i="1"/>
  <c r="O141" i="1"/>
  <c r="R141" i="1" s="1"/>
  <c r="I141" i="1"/>
  <c r="Q140" i="1"/>
  <c r="P140" i="1"/>
  <c r="O140" i="1"/>
  <c r="I140" i="1"/>
  <c r="Q139" i="1"/>
  <c r="P139" i="1"/>
  <c r="O139" i="1"/>
  <c r="R139" i="1" s="1"/>
  <c r="I139" i="1"/>
  <c r="Q138" i="1"/>
  <c r="P138" i="1"/>
  <c r="O138" i="1"/>
  <c r="I138" i="1"/>
  <c r="Q137" i="1"/>
  <c r="P137" i="1"/>
  <c r="O137" i="1"/>
  <c r="R137" i="1" s="1"/>
  <c r="I137" i="1"/>
  <c r="Q136" i="1"/>
  <c r="P136" i="1"/>
  <c r="O136" i="1"/>
  <c r="I136" i="1"/>
  <c r="Q135" i="1"/>
  <c r="P135" i="1"/>
  <c r="O135" i="1"/>
  <c r="R135" i="1" s="1"/>
  <c r="I135" i="1"/>
  <c r="Q134" i="1"/>
  <c r="P134" i="1"/>
  <c r="O134" i="1"/>
  <c r="R134" i="1" s="1"/>
  <c r="I134" i="1"/>
  <c r="Q133" i="1"/>
  <c r="P133" i="1"/>
  <c r="O133" i="1"/>
  <c r="R133" i="1" s="1"/>
  <c r="I133" i="1"/>
  <c r="Q132" i="1"/>
  <c r="P132" i="1"/>
  <c r="O132" i="1"/>
  <c r="R132" i="1" s="1"/>
  <c r="I132" i="1"/>
  <c r="Q131" i="1"/>
  <c r="P131" i="1"/>
  <c r="O131" i="1"/>
  <c r="R131" i="1" s="1"/>
  <c r="I131" i="1"/>
  <c r="Q130" i="1"/>
  <c r="P130" i="1"/>
  <c r="O130" i="1"/>
  <c r="I130" i="1"/>
  <c r="Q129" i="1"/>
  <c r="P129" i="1"/>
  <c r="O129" i="1"/>
  <c r="I129" i="1"/>
  <c r="Q128" i="1"/>
  <c r="P128" i="1"/>
  <c r="O128" i="1"/>
  <c r="R128" i="1" s="1"/>
  <c r="I128" i="1"/>
  <c r="Q127" i="1"/>
  <c r="P127" i="1"/>
  <c r="O127" i="1"/>
  <c r="I127" i="1"/>
  <c r="Q126" i="1"/>
  <c r="P126" i="1"/>
  <c r="O126" i="1"/>
  <c r="R126" i="1" s="1"/>
  <c r="I126" i="1"/>
  <c r="Q125" i="1"/>
  <c r="P125" i="1"/>
  <c r="O125" i="1"/>
  <c r="R125" i="1" s="1"/>
  <c r="I125" i="1"/>
  <c r="Q124" i="1"/>
  <c r="P124" i="1"/>
  <c r="O124" i="1"/>
  <c r="R124" i="1" s="1"/>
  <c r="I124" i="1"/>
  <c r="Q123" i="1"/>
  <c r="P123" i="1"/>
  <c r="O123" i="1"/>
  <c r="R123" i="1" s="1"/>
  <c r="I123" i="1"/>
  <c r="Q122" i="1"/>
  <c r="P122" i="1"/>
  <c r="O122" i="1"/>
  <c r="I122" i="1"/>
  <c r="Q121" i="1"/>
  <c r="P121" i="1"/>
  <c r="O121" i="1"/>
  <c r="R121" i="1" s="1"/>
  <c r="I121" i="1"/>
  <c r="Q120" i="1"/>
  <c r="P120" i="1"/>
  <c r="O120" i="1"/>
  <c r="R120" i="1" s="1"/>
  <c r="I120" i="1"/>
  <c r="Q119" i="1"/>
  <c r="P119" i="1"/>
  <c r="O119" i="1"/>
  <c r="R119" i="1" s="1"/>
  <c r="I119" i="1"/>
  <c r="Q118" i="1"/>
  <c r="P118" i="1"/>
  <c r="O118" i="1"/>
  <c r="R118" i="1" s="1"/>
  <c r="I118" i="1"/>
  <c r="Q117" i="1"/>
  <c r="P117" i="1"/>
  <c r="O117" i="1"/>
  <c r="R117" i="1" s="1"/>
  <c r="I117" i="1"/>
  <c r="Q116" i="1"/>
  <c r="P116" i="1"/>
  <c r="O116" i="1"/>
  <c r="R116" i="1" s="1"/>
  <c r="I116" i="1"/>
  <c r="Q115" i="1"/>
  <c r="P115" i="1"/>
  <c r="O115" i="1"/>
  <c r="R115" i="1" s="1"/>
  <c r="I115" i="1"/>
  <c r="Q114" i="1"/>
  <c r="P114" i="1"/>
  <c r="O114" i="1"/>
  <c r="I114" i="1"/>
  <c r="Q113" i="1"/>
  <c r="P113" i="1"/>
  <c r="O113" i="1"/>
  <c r="I113" i="1"/>
  <c r="Q112" i="1"/>
  <c r="P112" i="1"/>
  <c r="O112" i="1"/>
  <c r="R112" i="1" s="1"/>
  <c r="I112" i="1"/>
  <c r="Q111" i="1"/>
  <c r="P111" i="1"/>
  <c r="O111" i="1"/>
  <c r="I111" i="1"/>
  <c r="Q110" i="1"/>
  <c r="P110" i="1"/>
  <c r="O110" i="1"/>
  <c r="R110" i="1" s="1"/>
  <c r="I110" i="1"/>
  <c r="Q109" i="1"/>
  <c r="P109" i="1"/>
  <c r="O109" i="1"/>
  <c r="R109" i="1" s="1"/>
  <c r="I109" i="1"/>
  <c r="Q108" i="1"/>
  <c r="P108" i="1"/>
  <c r="O108" i="1"/>
  <c r="R108" i="1" s="1"/>
  <c r="I108" i="1"/>
  <c r="Q107" i="1"/>
  <c r="P107" i="1"/>
  <c r="O107" i="1"/>
  <c r="I107" i="1"/>
  <c r="Q106" i="1"/>
  <c r="P106" i="1"/>
  <c r="O106" i="1"/>
  <c r="R106" i="1" s="1"/>
  <c r="I106" i="1"/>
  <c r="Q105" i="1"/>
  <c r="P105" i="1"/>
  <c r="O105" i="1"/>
  <c r="I105" i="1"/>
  <c r="Q104" i="1"/>
  <c r="P104" i="1"/>
  <c r="O104" i="1"/>
  <c r="R104" i="1" s="1"/>
  <c r="I104" i="1"/>
  <c r="Q103" i="1"/>
  <c r="P103" i="1"/>
  <c r="O103" i="1"/>
  <c r="I103" i="1"/>
  <c r="Q102" i="1"/>
  <c r="P102" i="1"/>
  <c r="O102" i="1"/>
  <c r="R102" i="1" s="1"/>
  <c r="I102" i="1"/>
  <c r="Q101" i="1"/>
  <c r="P101" i="1"/>
  <c r="O101" i="1"/>
  <c r="R101" i="1" s="1"/>
  <c r="I101" i="1"/>
  <c r="Q100" i="1"/>
  <c r="P100" i="1"/>
  <c r="O100" i="1"/>
  <c r="R100" i="1" s="1"/>
  <c r="I100" i="1"/>
  <c r="Q99" i="1"/>
  <c r="P99" i="1"/>
  <c r="O99" i="1"/>
  <c r="I99" i="1"/>
  <c r="Q98" i="1"/>
  <c r="P98" i="1"/>
  <c r="O98" i="1"/>
  <c r="I98" i="1"/>
  <c r="Q97" i="1"/>
  <c r="P97" i="1"/>
  <c r="O97" i="1"/>
  <c r="I97" i="1"/>
  <c r="Q96" i="1"/>
  <c r="P96" i="1"/>
  <c r="O96" i="1"/>
  <c r="R96" i="1" s="1"/>
  <c r="I96" i="1"/>
  <c r="Q95" i="1"/>
  <c r="P95" i="1"/>
  <c r="O95" i="1"/>
  <c r="R95" i="1" s="1"/>
  <c r="I95" i="1"/>
  <c r="Q94" i="1"/>
  <c r="P94" i="1"/>
  <c r="O94" i="1"/>
  <c r="R94" i="1" s="1"/>
  <c r="I94" i="1"/>
  <c r="Q93" i="1"/>
  <c r="P93" i="1"/>
  <c r="O93" i="1"/>
  <c r="R93" i="1" s="1"/>
  <c r="I93" i="1"/>
  <c r="Q92" i="1"/>
  <c r="P92" i="1"/>
  <c r="O92" i="1"/>
  <c r="I92" i="1"/>
  <c r="Q91" i="1"/>
  <c r="P91" i="1"/>
  <c r="O91" i="1"/>
  <c r="I91" i="1"/>
  <c r="Q90" i="1"/>
  <c r="P90" i="1"/>
  <c r="O90" i="1"/>
  <c r="R90" i="1" s="1"/>
  <c r="I90" i="1"/>
  <c r="Q89" i="1"/>
  <c r="P89" i="1"/>
  <c r="O89" i="1"/>
  <c r="R89" i="1" s="1"/>
  <c r="I89" i="1"/>
  <c r="Q88" i="1"/>
  <c r="P88" i="1"/>
  <c r="O88" i="1"/>
  <c r="R88" i="1" s="1"/>
  <c r="I88" i="1"/>
  <c r="Q87" i="1"/>
  <c r="P87" i="1"/>
  <c r="O87" i="1"/>
  <c r="R87" i="1" s="1"/>
  <c r="I87" i="1"/>
  <c r="Q86" i="1"/>
  <c r="P86" i="1"/>
  <c r="O86" i="1"/>
  <c r="R86" i="1" s="1"/>
  <c r="I86" i="1"/>
  <c r="Q85" i="1"/>
  <c r="P85" i="1"/>
  <c r="O85" i="1"/>
  <c r="R85" i="1" s="1"/>
  <c r="I85" i="1"/>
  <c r="Q84" i="1"/>
  <c r="P84" i="1"/>
  <c r="O84" i="1"/>
  <c r="R84" i="1" s="1"/>
  <c r="I84" i="1"/>
  <c r="Q83" i="1"/>
  <c r="P83" i="1"/>
  <c r="O83" i="1"/>
  <c r="R83" i="1" s="1"/>
  <c r="I83" i="1"/>
  <c r="Q82" i="1"/>
  <c r="P82" i="1"/>
  <c r="O82" i="1"/>
  <c r="R82" i="1" s="1"/>
  <c r="I82" i="1"/>
  <c r="Q81" i="1"/>
  <c r="P81" i="1"/>
  <c r="O81" i="1"/>
  <c r="I81" i="1"/>
  <c r="Q80" i="1"/>
  <c r="P80" i="1"/>
  <c r="O80" i="1"/>
  <c r="R80" i="1" s="1"/>
  <c r="I80" i="1"/>
  <c r="Q79" i="1"/>
  <c r="P79" i="1"/>
  <c r="O79" i="1"/>
  <c r="R79" i="1" s="1"/>
  <c r="I79" i="1"/>
  <c r="Q78" i="1"/>
  <c r="P78" i="1"/>
  <c r="O78" i="1"/>
  <c r="R78" i="1" s="1"/>
  <c r="I78" i="1"/>
  <c r="Q77" i="1"/>
  <c r="P77" i="1"/>
  <c r="O77" i="1"/>
  <c r="R77" i="1" s="1"/>
  <c r="I77" i="1"/>
  <c r="Q76" i="1"/>
  <c r="P76" i="1"/>
  <c r="O76" i="1"/>
  <c r="R76" i="1" s="1"/>
  <c r="I76" i="1"/>
  <c r="Q75" i="1"/>
  <c r="P75" i="1"/>
  <c r="O75" i="1"/>
  <c r="I75" i="1"/>
  <c r="Q74" i="1"/>
  <c r="P74" i="1"/>
  <c r="O74" i="1"/>
  <c r="R74" i="1" s="1"/>
  <c r="I74" i="1"/>
  <c r="Q73" i="1"/>
  <c r="P73" i="1"/>
  <c r="O73" i="1"/>
  <c r="I73" i="1"/>
  <c r="Q72" i="1"/>
  <c r="P72" i="1"/>
  <c r="O72" i="1"/>
  <c r="I72" i="1"/>
  <c r="Q71" i="1"/>
  <c r="P71" i="1"/>
  <c r="O71" i="1"/>
  <c r="I71" i="1"/>
  <c r="Q70" i="1"/>
  <c r="P70" i="1"/>
  <c r="O70" i="1"/>
  <c r="R70" i="1" s="1"/>
  <c r="I70" i="1"/>
  <c r="Q69" i="1"/>
  <c r="P69" i="1"/>
  <c r="O69" i="1"/>
  <c r="I69" i="1"/>
  <c r="Q68" i="1"/>
  <c r="P68" i="1"/>
  <c r="O68" i="1"/>
  <c r="I68" i="1"/>
  <c r="Q67" i="1"/>
  <c r="P67" i="1"/>
  <c r="O67" i="1"/>
  <c r="R67" i="1" s="1"/>
  <c r="I67" i="1"/>
  <c r="Q66" i="1"/>
  <c r="P66" i="1"/>
  <c r="O66" i="1"/>
  <c r="R66" i="1" s="1"/>
  <c r="I66" i="1"/>
  <c r="Q65" i="1"/>
  <c r="P65" i="1"/>
  <c r="O65" i="1"/>
  <c r="I65" i="1"/>
  <c r="Q64" i="1"/>
  <c r="P64" i="1"/>
  <c r="O64" i="1"/>
  <c r="I64" i="1"/>
  <c r="Q63" i="1"/>
  <c r="P63" i="1"/>
  <c r="O63" i="1"/>
  <c r="R63" i="1" s="1"/>
  <c r="I63" i="1"/>
  <c r="Q62" i="1"/>
  <c r="P62" i="1"/>
  <c r="O62" i="1"/>
  <c r="I62" i="1"/>
  <c r="Q61" i="1"/>
  <c r="P61" i="1"/>
  <c r="O61" i="1"/>
  <c r="R61" i="1" s="1"/>
  <c r="I61" i="1"/>
  <c r="Q60" i="1"/>
  <c r="P60" i="1"/>
  <c r="O60" i="1"/>
  <c r="R60" i="1" s="1"/>
  <c r="I60" i="1"/>
  <c r="Q59" i="1"/>
  <c r="P59" i="1"/>
  <c r="O59" i="1"/>
  <c r="R59" i="1" s="1"/>
  <c r="I59" i="1"/>
  <c r="Q58" i="1"/>
  <c r="P58" i="1"/>
  <c r="O58" i="1"/>
  <c r="R58" i="1" s="1"/>
  <c r="I58" i="1"/>
  <c r="Q57" i="1"/>
  <c r="P57" i="1"/>
  <c r="O57" i="1"/>
  <c r="I57" i="1"/>
  <c r="Q56" i="1"/>
  <c r="P56" i="1"/>
  <c r="O56" i="1"/>
  <c r="R56" i="1" s="1"/>
  <c r="I56" i="1"/>
  <c r="Q55" i="1"/>
  <c r="P55" i="1"/>
  <c r="O55" i="1"/>
  <c r="I55" i="1"/>
  <c r="Q54" i="1"/>
  <c r="P54" i="1"/>
  <c r="O54" i="1"/>
  <c r="R54" i="1" s="1"/>
  <c r="I54" i="1"/>
  <c r="Q53" i="1"/>
  <c r="P53" i="1"/>
  <c r="O53" i="1"/>
  <c r="R53" i="1" s="1"/>
  <c r="I53" i="1"/>
  <c r="Q52" i="1"/>
  <c r="P52" i="1"/>
  <c r="O52" i="1"/>
  <c r="R52" i="1" s="1"/>
  <c r="I52" i="1"/>
  <c r="Q51" i="1"/>
  <c r="P51" i="1"/>
  <c r="O51" i="1"/>
  <c r="R51" i="1" s="1"/>
  <c r="I51" i="1"/>
  <c r="Q50" i="1"/>
  <c r="P50" i="1"/>
  <c r="O50" i="1"/>
  <c r="I50" i="1"/>
  <c r="Q49" i="1"/>
  <c r="P49" i="1"/>
  <c r="O49" i="1"/>
  <c r="R49" i="1" s="1"/>
  <c r="I49" i="1"/>
  <c r="Q48" i="1"/>
  <c r="P48" i="1"/>
  <c r="O48" i="1"/>
  <c r="R48" i="1" s="1"/>
  <c r="I48" i="1"/>
  <c r="Q47" i="1"/>
  <c r="P47" i="1"/>
  <c r="O47" i="1"/>
  <c r="I47" i="1"/>
  <c r="Q46" i="1"/>
  <c r="P46" i="1"/>
  <c r="O46" i="1"/>
  <c r="R46" i="1" s="1"/>
  <c r="I46" i="1"/>
  <c r="Q45" i="1"/>
  <c r="P45" i="1"/>
  <c r="O45" i="1"/>
  <c r="R45" i="1" s="1"/>
  <c r="I45" i="1"/>
  <c r="Q44" i="1"/>
  <c r="P44" i="1"/>
  <c r="O44" i="1"/>
  <c r="R44" i="1" s="1"/>
  <c r="I44" i="1"/>
  <c r="Q43" i="1"/>
  <c r="P43" i="1"/>
  <c r="O43" i="1"/>
  <c r="R43" i="1" s="1"/>
  <c r="I43" i="1"/>
  <c r="Q42" i="1"/>
  <c r="P42" i="1"/>
  <c r="O42" i="1"/>
  <c r="R42" i="1" s="1"/>
  <c r="I42" i="1"/>
  <c r="Q41" i="1"/>
  <c r="P41" i="1"/>
  <c r="O41" i="1"/>
  <c r="R41" i="1" s="1"/>
  <c r="I41" i="1"/>
  <c r="Q40" i="1"/>
  <c r="P40" i="1"/>
  <c r="O40" i="1"/>
  <c r="R40" i="1" s="1"/>
  <c r="I40" i="1"/>
  <c r="Q39" i="1"/>
  <c r="P39" i="1"/>
  <c r="O39" i="1"/>
  <c r="R39" i="1" s="1"/>
  <c r="I39" i="1"/>
  <c r="Q38" i="1"/>
  <c r="P38" i="1"/>
  <c r="O38" i="1"/>
  <c r="R38" i="1" s="1"/>
  <c r="I38" i="1"/>
  <c r="Q37" i="1"/>
  <c r="P37" i="1"/>
  <c r="O37" i="1"/>
  <c r="R37" i="1" s="1"/>
  <c r="I37" i="1"/>
  <c r="Q36" i="1"/>
  <c r="P36" i="1"/>
  <c r="O36" i="1"/>
  <c r="I36" i="1"/>
  <c r="Q35" i="1"/>
  <c r="P35" i="1"/>
  <c r="O35" i="1"/>
  <c r="R35" i="1" s="1"/>
  <c r="I35" i="1"/>
  <c r="Q34" i="1"/>
  <c r="P34" i="1"/>
  <c r="O34" i="1"/>
  <c r="R34" i="1" s="1"/>
  <c r="I34" i="1"/>
  <c r="Q33" i="1"/>
  <c r="P33" i="1"/>
  <c r="O33" i="1"/>
  <c r="I33" i="1"/>
  <c r="Q32" i="1"/>
  <c r="P32" i="1"/>
  <c r="O32" i="1"/>
  <c r="I32" i="1"/>
  <c r="Q31" i="1"/>
  <c r="P31" i="1"/>
  <c r="O31" i="1"/>
  <c r="I31" i="1"/>
  <c r="Q30" i="1"/>
  <c r="P30" i="1"/>
  <c r="O30" i="1"/>
  <c r="I30" i="1"/>
  <c r="Q29" i="1"/>
  <c r="P29" i="1"/>
  <c r="O29" i="1"/>
  <c r="R29" i="1" s="1"/>
  <c r="I29" i="1"/>
  <c r="Q28" i="1"/>
  <c r="P28" i="1"/>
  <c r="O28" i="1"/>
  <c r="R28" i="1" s="1"/>
  <c r="I28" i="1"/>
  <c r="Q27" i="1"/>
  <c r="P27" i="1"/>
  <c r="O27" i="1"/>
  <c r="R27" i="1" s="1"/>
  <c r="I27" i="1"/>
  <c r="Q26" i="1"/>
  <c r="P26" i="1"/>
  <c r="O26" i="1"/>
  <c r="I26" i="1"/>
  <c r="Q25" i="1"/>
  <c r="P25" i="1"/>
  <c r="O25" i="1"/>
  <c r="I25" i="1"/>
  <c r="Q24" i="1"/>
  <c r="P24" i="1"/>
  <c r="O24" i="1"/>
  <c r="R24" i="1" s="1"/>
  <c r="I24" i="1"/>
  <c r="Q23" i="1"/>
  <c r="P23" i="1"/>
  <c r="O23" i="1"/>
  <c r="R23" i="1" s="1"/>
  <c r="I23" i="1"/>
  <c r="Q22" i="1"/>
  <c r="P22" i="1"/>
  <c r="O22" i="1"/>
  <c r="R22" i="1" s="1"/>
  <c r="I22" i="1"/>
  <c r="Q21" i="1"/>
  <c r="P21" i="1"/>
  <c r="O21" i="1"/>
  <c r="R21" i="1" s="1"/>
  <c r="I21" i="1"/>
  <c r="Q20" i="1"/>
  <c r="P20" i="1"/>
  <c r="O20" i="1"/>
  <c r="I20" i="1"/>
  <c r="Q19" i="1"/>
  <c r="P19" i="1"/>
  <c r="O19" i="1"/>
  <c r="I19" i="1"/>
  <c r="Q18" i="1"/>
  <c r="P18" i="1"/>
  <c r="O18" i="1"/>
  <c r="R18" i="1" s="1"/>
  <c r="I18" i="1"/>
  <c r="Q17" i="1"/>
  <c r="P17" i="1"/>
  <c r="O17" i="1"/>
  <c r="R17" i="1" s="1"/>
  <c r="I17" i="1"/>
  <c r="Q16" i="1"/>
  <c r="P16" i="1"/>
  <c r="O16" i="1"/>
  <c r="R16" i="1" s="1"/>
  <c r="I16" i="1"/>
  <c r="Q15" i="1"/>
  <c r="P15" i="1"/>
  <c r="O15" i="1"/>
  <c r="R15" i="1" s="1"/>
  <c r="I15" i="1"/>
  <c r="Q14" i="1"/>
  <c r="P14" i="1"/>
  <c r="O14" i="1"/>
  <c r="R14" i="1" s="1"/>
  <c r="I14" i="1"/>
  <c r="Q13" i="1"/>
  <c r="P13" i="1"/>
  <c r="O13" i="1"/>
  <c r="R13" i="1" s="1"/>
  <c r="I13" i="1"/>
  <c r="Q12" i="1"/>
  <c r="P12" i="1"/>
  <c r="O12" i="1"/>
  <c r="I12" i="1"/>
  <c r="Q11" i="1"/>
  <c r="P11" i="1"/>
  <c r="O11" i="1"/>
  <c r="I11" i="1"/>
  <c r="Q10" i="1"/>
  <c r="P10" i="1"/>
  <c r="O10" i="1"/>
  <c r="I10" i="1"/>
  <c r="Q9" i="1"/>
  <c r="P9" i="1"/>
  <c r="O9" i="1"/>
  <c r="I9" i="1"/>
  <c r="Q8" i="1"/>
  <c r="P8" i="1"/>
  <c r="O8" i="1"/>
  <c r="R8" i="1" s="1"/>
  <c r="I8" i="1"/>
  <c r="Q7" i="1"/>
  <c r="P7" i="1"/>
  <c r="O7" i="1"/>
  <c r="R7" i="1" s="1"/>
  <c r="I7" i="1"/>
  <c r="Q6" i="1"/>
  <c r="P6" i="1"/>
  <c r="O6" i="1"/>
  <c r="R6" i="1" s="1"/>
  <c r="I6" i="1"/>
  <c r="Q5" i="1"/>
  <c r="P5" i="1"/>
  <c r="O5" i="1"/>
  <c r="I5" i="1"/>
  <c r="I3" i="2" l="1"/>
  <c r="P17" i="6"/>
  <c r="P15" i="5"/>
  <c r="R39" i="3"/>
  <c r="R267" i="3"/>
  <c r="R227" i="3"/>
  <c r="R126" i="3"/>
  <c r="R324" i="3"/>
  <c r="R231" i="3"/>
  <c r="R159" i="3"/>
  <c r="R335" i="3"/>
  <c r="R297" i="3"/>
  <c r="R237" i="3"/>
  <c r="R234" i="3"/>
  <c r="R232" i="3"/>
  <c r="R174" i="3"/>
  <c r="R172" i="3"/>
  <c r="R169" i="3"/>
  <c r="R161" i="3"/>
  <c r="R123" i="3"/>
  <c r="R55" i="3"/>
  <c r="R43" i="3"/>
  <c r="R9" i="3"/>
  <c r="R208" i="2"/>
  <c r="R32" i="2"/>
  <c r="R27" i="2"/>
  <c r="R381" i="2"/>
  <c r="R369" i="2"/>
  <c r="R366" i="2"/>
  <c r="R338" i="2"/>
  <c r="R335" i="2"/>
  <c r="R314" i="2"/>
  <c r="R312" i="2"/>
  <c r="R304" i="2"/>
  <c r="R300" i="2"/>
  <c r="R235" i="2"/>
  <c r="R233" i="2"/>
  <c r="R187" i="2"/>
  <c r="R143" i="2"/>
  <c r="R104" i="2"/>
  <c r="R96" i="2"/>
  <c r="R75" i="2"/>
  <c r="R61" i="2"/>
  <c r="R69" i="1"/>
  <c r="R378" i="1"/>
  <c r="R237" i="1"/>
  <c r="R129" i="1"/>
  <c r="R438" i="1"/>
  <c r="R436" i="1"/>
  <c r="R423" i="1"/>
  <c r="R411" i="1"/>
  <c r="R381" i="1"/>
  <c r="R370" i="1"/>
  <c r="R368" i="1"/>
  <c r="R361" i="1"/>
  <c r="R352" i="1"/>
  <c r="R319" i="1"/>
  <c r="R282" i="1"/>
  <c r="R280" i="1"/>
  <c r="R278" i="1"/>
  <c r="R270" i="1"/>
  <c r="R269" i="1"/>
  <c r="R265" i="1"/>
  <c r="R244" i="1"/>
  <c r="R240" i="1"/>
  <c r="R206" i="1"/>
  <c r="R188" i="1"/>
  <c r="R168" i="1"/>
  <c r="R145" i="1"/>
  <c r="R130" i="1"/>
  <c r="R99" i="1"/>
  <c r="R72" i="1"/>
  <c r="R36" i="1"/>
  <c r="R12" i="1"/>
  <c r="R406" i="3"/>
  <c r="R217" i="3"/>
  <c r="R210" i="3"/>
  <c r="R167" i="3"/>
  <c r="R118" i="3"/>
  <c r="R443" i="3"/>
  <c r="R425" i="3"/>
  <c r="R400" i="3"/>
  <c r="R220" i="3"/>
  <c r="R193" i="3"/>
  <c r="R151" i="3"/>
  <c r="R64" i="3"/>
  <c r="R49" i="3"/>
  <c r="R451" i="3"/>
  <c r="R449" i="3"/>
  <c r="R440" i="3"/>
  <c r="R326" i="3"/>
  <c r="R263" i="3"/>
  <c r="R203" i="3"/>
  <c r="R196" i="3"/>
  <c r="R119" i="3"/>
  <c r="R102" i="3"/>
  <c r="R93" i="3"/>
  <c r="R83" i="3"/>
  <c r="R80" i="3"/>
  <c r="R73" i="3"/>
  <c r="R72" i="3"/>
  <c r="R67" i="3"/>
  <c r="R66" i="3"/>
  <c r="R50" i="3"/>
  <c r="R29" i="3"/>
  <c r="R10" i="3"/>
  <c r="R272" i="3"/>
  <c r="R261" i="3"/>
  <c r="R133" i="3"/>
  <c r="R51" i="3"/>
  <c r="R16" i="3"/>
  <c r="R11" i="3"/>
  <c r="R269" i="3"/>
  <c r="R235" i="3"/>
  <c r="R132" i="3"/>
  <c r="R77" i="3"/>
  <c r="R37" i="3"/>
  <c r="R14" i="3"/>
  <c r="R282" i="3"/>
  <c r="R229" i="3"/>
  <c r="R211" i="3"/>
  <c r="R197" i="3"/>
  <c r="R189" i="3"/>
  <c r="R176" i="3"/>
  <c r="R150" i="3"/>
  <c r="R111" i="3"/>
  <c r="R107" i="3"/>
  <c r="R463" i="2"/>
  <c r="R283" i="2"/>
  <c r="R466" i="2"/>
  <c r="R449" i="2"/>
  <c r="R447" i="2"/>
  <c r="R444" i="2"/>
  <c r="R438" i="2"/>
  <c r="R436" i="2"/>
  <c r="R431" i="2"/>
  <c r="R429" i="2"/>
  <c r="R427" i="2"/>
  <c r="R417" i="2"/>
  <c r="R412" i="2"/>
  <c r="R404" i="2"/>
  <c r="R398" i="2"/>
  <c r="R394" i="2"/>
  <c r="R392" i="2"/>
  <c r="R390" i="2"/>
  <c r="R388" i="2"/>
  <c r="R385" i="2"/>
  <c r="R379" i="2"/>
  <c r="R375" i="2"/>
  <c r="R371" i="2"/>
  <c r="R362" i="2"/>
  <c r="R356" i="2"/>
  <c r="R346" i="2"/>
  <c r="R326" i="2"/>
  <c r="R323" i="2"/>
  <c r="R310" i="2"/>
  <c r="R305" i="2"/>
  <c r="R268" i="2"/>
  <c r="R254" i="2"/>
  <c r="R252" i="2"/>
  <c r="R250" i="2"/>
  <c r="R248" i="2"/>
  <c r="R246" i="2"/>
  <c r="R244" i="2"/>
  <c r="R228" i="2"/>
  <c r="R219" i="2"/>
  <c r="R212" i="2"/>
  <c r="R209" i="2"/>
  <c r="R207" i="2"/>
  <c r="R197" i="2"/>
  <c r="R195" i="2"/>
  <c r="R192" i="2"/>
  <c r="R181" i="2"/>
  <c r="R179" i="2"/>
  <c r="R170" i="2"/>
  <c r="R154" i="2"/>
  <c r="R145" i="2"/>
  <c r="R142" i="2"/>
  <c r="R137" i="2"/>
  <c r="R120" i="2"/>
  <c r="R113" i="2"/>
  <c r="R109" i="2"/>
  <c r="R106" i="2"/>
  <c r="R97" i="2"/>
  <c r="R92" i="2"/>
  <c r="R90" i="2"/>
  <c r="R77" i="2"/>
  <c r="R66" i="2"/>
  <c r="R62" i="2"/>
  <c r="R58" i="2"/>
  <c r="R55" i="2"/>
  <c r="R49" i="2"/>
  <c r="R45" i="2"/>
  <c r="R43" i="2"/>
  <c r="R42" i="2"/>
  <c r="R35" i="2"/>
  <c r="R29" i="2"/>
  <c r="R20" i="2"/>
  <c r="R467" i="2"/>
  <c r="R452" i="2"/>
  <c r="R3" i="2" s="1"/>
  <c r="R292" i="2"/>
  <c r="R259" i="2"/>
  <c r="R24" i="2"/>
  <c r="R458" i="2"/>
  <c r="R400" i="2"/>
  <c r="R382" i="2"/>
  <c r="R230" i="2"/>
  <c r="R459" i="2"/>
  <c r="R454" i="2"/>
  <c r="R453" i="2"/>
  <c r="R416" i="2"/>
  <c r="R406" i="2"/>
  <c r="R402" i="2"/>
  <c r="R383" i="2"/>
  <c r="R374" i="2"/>
  <c r="R364" i="2"/>
  <c r="R358" i="2"/>
  <c r="R351" i="2"/>
  <c r="R348" i="2"/>
  <c r="R341" i="2"/>
  <c r="R333" i="2"/>
  <c r="R322" i="2"/>
  <c r="R319" i="2"/>
  <c r="R281" i="2"/>
  <c r="R276" i="2"/>
  <c r="R272" i="2"/>
  <c r="R247" i="2"/>
  <c r="R237" i="2"/>
  <c r="R217" i="2"/>
  <c r="R205" i="2"/>
  <c r="R203" i="2"/>
  <c r="R200" i="2"/>
  <c r="R199" i="2"/>
  <c r="R193" i="2"/>
  <c r="R186" i="2"/>
  <c r="R177" i="2"/>
  <c r="R167" i="2"/>
  <c r="R152" i="2"/>
  <c r="R147" i="2"/>
  <c r="R144" i="2"/>
  <c r="R134" i="2"/>
  <c r="R133" i="2"/>
  <c r="R126" i="2"/>
  <c r="R103" i="2"/>
  <c r="R101" i="2"/>
  <c r="R94" i="2"/>
  <c r="R81" i="2"/>
  <c r="R76" i="2"/>
  <c r="R71" i="2"/>
  <c r="R57" i="2"/>
  <c r="R40" i="2"/>
  <c r="R5" i="2"/>
  <c r="R256" i="2"/>
  <c r="R225" i="2"/>
  <c r="R190" i="2"/>
  <c r="R173" i="2"/>
  <c r="R163" i="2"/>
  <c r="R115" i="2"/>
  <c r="R447" i="1"/>
  <c r="R266" i="1"/>
  <c r="R228" i="1"/>
  <c r="R191" i="1"/>
  <c r="R159" i="1"/>
  <c r="R157" i="1"/>
  <c r="R155" i="1"/>
  <c r="R154" i="1"/>
  <c r="R456" i="1"/>
  <c r="R3" i="1" s="1"/>
  <c r="R401" i="1"/>
  <c r="R394" i="1"/>
  <c r="R375" i="1"/>
  <c r="R374" i="1"/>
  <c r="R339" i="1"/>
  <c r="R333" i="1"/>
  <c r="R329" i="1"/>
  <c r="R324" i="1"/>
  <c r="R306" i="1"/>
  <c r="R273" i="1"/>
  <c r="R234" i="1"/>
  <c r="R222" i="1"/>
  <c r="R215" i="1"/>
  <c r="R161" i="1"/>
  <c r="R160" i="1"/>
  <c r="R156" i="1"/>
  <c r="R152" i="1"/>
  <c r="R150" i="1"/>
  <c r="R140" i="1"/>
  <c r="R105" i="1"/>
  <c r="R97" i="1"/>
  <c r="R73" i="1"/>
  <c r="R31" i="1"/>
  <c r="R10" i="1"/>
  <c r="R465" i="1"/>
  <c r="R373" i="1"/>
  <c r="R362" i="1"/>
  <c r="R289" i="1"/>
  <c r="R271" i="1"/>
  <c r="R239" i="1"/>
  <c r="R209" i="1"/>
  <c r="R186" i="1"/>
  <c r="R138" i="1"/>
  <c r="R122" i="1"/>
  <c r="R208" i="1"/>
  <c r="R205" i="1"/>
  <c r="R81" i="1"/>
  <c r="R75" i="1"/>
  <c r="R65" i="1"/>
  <c r="R57" i="1"/>
  <c r="R55" i="1"/>
  <c r="R50" i="1"/>
  <c r="R47" i="1"/>
  <c r="R33" i="1"/>
  <c r="R30" i="1"/>
  <c r="R26" i="1"/>
  <c r="R19" i="1"/>
  <c r="R9" i="1"/>
  <c r="R424" i="1"/>
  <c r="R369" i="1"/>
  <c r="R263" i="1"/>
  <c r="R260" i="1"/>
  <c r="R225" i="1"/>
  <c r="R201" i="1"/>
  <c r="R193" i="1"/>
  <c r="R181" i="1"/>
  <c r="R175" i="1"/>
  <c r="R174" i="1"/>
  <c r="R162" i="1"/>
  <c r="R149" i="1"/>
  <c r="R92" i="1"/>
  <c r="R91" i="1"/>
  <c r="R68" i="1"/>
  <c r="R450" i="1"/>
  <c r="R432" i="1"/>
  <c r="R427" i="1"/>
  <c r="R425" i="1"/>
  <c r="R419" i="1"/>
  <c r="R417" i="1"/>
  <c r="R415" i="1"/>
  <c r="R404" i="1"/>
  <c r="R397" i="1"/>
  <c r="R395" i="1"/>
  <c r="R376" i="1"/>
  <c r="R367" i="1"/>
  <c r="R349" i="1"/>
  <c r="R340" i="1"/>
  <c r="R337" i="1"/>
  <c r="R334" i="1"/>
  <c r="R331" i="1"/>
  <c r="R330" i="1"/>
  <c r="R326" i="1"/>
  <c r="R325" i="1"/>
  <c r="R313" i="1"/>
  <c r="R312" i="1"/>
  <c r="R311" i="1"/>
  <c r="R309" i="1"/>
  <c r="R307" i="1"/>
  <c r="R295" i="1"/>
  <c r="R292" i="1"/>
  <c r="R252" i="1"/>
  <c r="R249" i="1"/>
  <c r="R236" i="1"/>
  <c r="R220" i="1"/>
  <c r="R217" i="1"/>
  <c r="R202" i="1"/>
  <c r="R192" i="1"/>
  <c r="R183" i="1"/>
  <c r="R179" i="1"/>
  <c r="R177" i="1"/>
  <c r="R172" i="1"/>
  <c r="R32" i="1"/>
  <c r="R25" i="1"/>
  <c r="R20" i="1"/>
  <c r="R11" i="1"/>
  <c r="R5" i="1"/>
  <c r="R402" i="1"/>
  <c r="R338" i="1"/>
  <c r="R299" i="1"/>
  <c r="R279" i="1"/>
  <c r="R196" i="1"/>
  <c r="R151" i="1"/>
  <c r="R136" i="1"/>
  <c r="R114" i="1"/>
  <c r="R113" i="1"/>
  <c r="R107" i="1"/>
  <c r="R103" i="1"/>
  <c r="R241" i="1"/>
  <c r="R224" i="1"/>
  <c r="R194" i="1"/>
  <c r="R176" i="1"/>
  <c r="R171" i="1"/>
  <c r="R127" i="1"/>
  <c r="R111" i="1"/>
  <c r="R98" i="1"/>
  <c r="R71" i="1"/>
  <c r="R64" i="1"/>
  <c r="R62" i="1"/>
</calcChain>
</file>

<file path=xl/sharedStrings.xml><?xml version="1.0" encoding="utf-8"?>
<sst xmlns="http://schemas.openxmlformats.org/spreadsheetml/2006/main" count="4275" uniqueCount="98">
  <si>
    <t>Sr.No</t>
  </si>
  <si>
    <t>Date</t>
  </si>
  <si>
    <t>Machine Name</t>
  </si>
  <si>
    <t>Shift</t>
  </si>
  <si>
    <t>Operator name</t>
  </si>
  <si>
    <t>Production</t>
  </si>
  <si>
    <t>Ok</t>
  </si>
  <si>
    <t>Rejected QTY</t>
  </si>
  <si>
    <t>Rej%</t>
  </si>
  <si>
    <t>PPM</t>
  </si>
  <si>
    <t>Cycle Time</t>
  </si>
  <si>
    <t>Operating Time</t>
  </si>
  <si>
    <t>Planned Production time</t>
  </si>
  <si>
    <t>Downtime</t>
  </si>
  <si>
    <t>Availability</t>
  </si>
  <si>
    <t>Performance</t>
  </si>
  <si>
    <t>Quality</t>
  </si>
  <si>
    <t>OEE</t>
  </si>
  <si>
    <t>Machine A</t>
  </si>
  <si>
    <t>A</t>
  </si>
  <si>
    <t>Rahul Shinde</t>
  </si>
  <si>
    <t>B</t>
  </si>
  <si>
    <t>Amit Patil</t>
  </si>
  <si>
    <t>C</t>
  </si>
  <si>
    <t>Nitin Jadhav</t>
  </si>
  <si>
    <t>Machine B</t>
  </si>
  <si>
    <t>Vikas Pawar</t>
  </si>
  <si>
    <t>Suresh More</t>
  </si>
  <si>
    <t>Machine C</t>
  </si>
  <si>
    <t>Sachin Patil</t>
  </si>
  <si>
    <t>Machine D</t>
  </si>
  <si>
    <t>Ganesh Chavan</t>
  </si>
  <si>
    <t>Prakash Wagh</t>
  </si>
  <si>
    <t>Machine E</t>
  </si>
  <si>
    <t>Rohan Kale</t>
  </si>
  <si>
    <t>Akash Deshmukh</t>
  </si>
  <si>
    <t>Sr.no.</t>
  </si>
  <si>
    <t>Months</t>
  </si>
  <si>
    <t>Ok QTY</t>
  </si>
  <si>
    <t>Total Production</t>
  </si>
  <si>
    <t>Rejection %</t>
  </si>
  <si>
    <t>Rejection PPM</t>
  </si>
  <si>
    <t>Monthly Production KPIs</t>
  </si>
  <si>
    <t>January</t>
  </si>
  <si>
    <t>February</t>
  </si>
  <si>
    <t>March</t>
  </si>
  <si>
    <t>April</t>
  </si>
  <si>
    <t>May</t>
  </si>
  <si>
    <t>Jun</t>
  </si>
  <si>
    <t>June</t>
  </si>
  <si>
    <t>July</t>
  </si>
  <si>
    <t>August</t>
  </si>
  <si>
    <t>September</t>
  </si>
  <si>
    <t>October</t>
  </si>
  <si>
    <t>November</t>
  </si>
  <si>
    <t>December</t>
  </si>
  <si>
    <t>Downtime Analysis</t>
  </si>
  <si>
    <t>Sr. No.</t>
  </si>
  <si>
    <t>Downtime Reason</t>
  </si>
  <si>
    <t>Jan</t>
  </si>
  <si>
    <t>Feb</t>
  </si>
  <si>
    <t>Mar</t>
  </si>
  <si>
    <t>Apr</t>
  </si>
  <si>
    <t>Jul</t>
  </si>
  <si>
    <t>Aug</t>
  </si>
  <si>
    <t>Sep</t>
  </si>
  <si>
    <t>Oct</t>
  </si>
  <si>
    <t>Nov</t>
  </si>
  <si>
    <t>Dec</t>
  </si>
  <si>
    <t>Total</t>
  </si>
  <si>
    <t>Rejection Analysis</t>
  </si>
  <si>
    <t>JULY PRODUCTION DATA</t>
  </si>
  <si>
    <t>AUGUST PRODUCTION DATA</t>
  </si>
  <si>
    <t>SEPTEMBER PRODUCTION DATA</t>
  </si>
  <si>
    <t>Rejection Reason</t>
  </si>
  <si>
    <t>Machine Breakdown</t>
  </si>
  <si>
    <t>Tool Failure / Tool Change</t>
  </si>
  <si>
    <t>Setup / Changeover</t>
  </si>
  <si>
    <t>Material Shortage</t>
  </si>
  <si>
    <t>Power Failure</t>
  </si>
  <si>
    <t>Operator Unavailability</t>
  </si>
  <si>
    <t>Quality Inspection / Adjustment</t>
  </si>
  <si>
    <t>Preventive Maintenance</t>
  </si>
  <si>
    <t>Die / Fixture Change</t>
  </si>
  <si>
    <t>Production Plan / Scheduling Delay</t>
  </si>
  <si>
    <t>Dimensional Defect</t>
  </si>
  <si>
    <t>Surface Finish Defect</t>
  </si>
  <si>
    <t>Burrs / Sharp Edges</t>
  </si>
  <si>
    <t>Hole / Thread Defect</t>
  </si>
  <si>
    <t>Cracks / Fractures</t>
  </si>
  <si>
    <t>Deformation</t>
  </si>
  <si>
    <t>Material Defect</t>
  </si>
  <si>
    <t>Machining Defect</t>
  </si>
  <si>
    <t>Welding Defect</t>
  </si>
  <si>
    <t>Other Identified Defect</t>
  </si>
  <si>
    <t>Wrong Assembly / Fitment</t>
  </si>
  <si>
    <t>Hardness / Heat Treatment Defect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</si>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</sst>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2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20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3" fontId="0" fillId="0" borderId="1" xfId="0" applyNumberFormat="1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0" fontId="0" fillId="0" borderId="1" xfId="0" applyNumberFormat="1" applyBorder="1"/>
    <xf numFmtId="10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0" fillId="0" borderId="1" xfId="0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7" fillId="7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3" fontId="0" fillId="0" borderId="1" xfId="0" applyNumberFormat="1" applyBorder="1"/>
    <xf numFmtId="0" fontId="1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Month Wise </a:t>
            </a:r>
            <a:r>
              <a:rPr lang="en-IN" sz="1400" b="1"/>
              <a:t>Total Production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'Summary '!$C$5:$C$16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'Summary '!$D$5:$D$16</c:f>
              <c:numCache>
                <c:formatCode>General</c:formatCode>
                <c:ptCount val="12"/>
                <c:pt idx="6">
                  <c:v>192717</c:v>
                </c:pt>
                <c:pt idx="7">
                  <c:v>203195</c:v>
                </c:pt>
                <c:pt idx="8">
                  <c:v>190432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48-4902-A5CA-3B04619E8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6338271"/>
        <c:axId val="726327231"/>
      </c:lineChart>
      <c:catAx>
        <c:axId val="726338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327231"/>
        <c:crosses val="autoZero"/>
        <c:auto val="1"/>
        <c:lblAlgn val="ctr"/>
        <c:lblOffset val="100"/>
        <c:noMultiLvlLbl val="0"/>
      </c:catAx>
      <c:valAx>
        <c:axId val="72632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338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Month Wise </a:t>
            </a:r>
            <a:r>
              <a:rPr lang="en-IN" sz="1400" b="1"/>
              <a:t>OK QTY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'Summary '!$C$5:$C$16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'Summary '!$E$5:$E$16</c:f>
              <c:numCache>
                <c:formatCode>General</c:formatCode>
                <c:ptCount val="12"/>
                <c:pt idx="6">
                  <c:v>188138</c:v>
                </c:pt>
                <c:pt idx="7">
                  <c:v>198495</c:v>
                </c:pt>
                <c:pt idx="8">
                  <c:v>185931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FB-4DD3-842A-2F62A2CA6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6331551"/>
        <c:axId val="726339231"/>
      </c:lineChart>
      <c:catAx>
        <c:axId val="726331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339231"/>
        <c:crosses val="autoZero"/>
        <c:auto val="1"/>
        <c:lblAlgn val="ctr"/>
        <c:lblOffset val="100"/>
        <c:noMultiLvlLbl val="0"/>
      </c:catAx>
      <c:valAx>
        <c:axId val="72633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331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Month Wise Rejected QTY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2"/>
          <c:order val="0"/>
          <c:marker>
            <c:symbol val="none"/>
          </c:marker>
          <c:cat>
            <c:strRef>
              <c:f>'Summary '!$C$5:$C$16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'Summary '!$F$5:$F$16</c:f>
              <c:numCache>
                <c:formatCode>General</c:formatCode>
                <c:ptCount val="12"/>
                <c:pt idx="6">
                  <c:v>4624</c:v>
                </c:pt>
                <c:pt idx="7">
                  <c:v>4329</c:v>
                </c:pt>
                <c:pt idx="8">
                  <c:v>4501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5C6-4998-9B84-4284089B8CDA}"/>
            </c:ext>
          </c:extLst>
        </c:ser>
        <c:ser>
          <c:idx val="3"/>
          <c:order val="1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'Summary '!$C$5:$C$16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'Summary '!$F$5:$F$16</c:f>
              <c:numCache>
                <c:formatCode>General</c:formatCode>
                <c:ptCount val="12"/>
                <c:pt idx="6">
                  <c:v>4624</c:v>
                </c:pt>
                <c:pt idx="7">
                  <c:v>4329</c:v>
                </c:pt>
                <c:pt idx="8">
                  <c:v>4501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5C6-4998-9B84-4284089B8CDA}"/>
            </c:ext>
          </c:extLst>
        </c:ser>
        <c:ser>
          <c:idx val="1"/>
          <c:order val="2"/>
          <c:marker>
            <c:symbol val="none"/>
          </c:marker>
          <c:cat>
            <c:strRef>
              <c:f>'Summary '!$C$5:$C$16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'Summary '!$F$5:$F$16</c:f>
              <c:numCache>
                <c:formatCode>General</c:formatCode>
                <c:ptCount val="12"/>
                <c:pt idx="6">
                  <c:v>4624</c:v>
                </c:pt>
                <c:pt idx="7">
                  <c:v>4329</c:v>
                </c:pt>
                <c:pt idx="8">
                  <c:v>4501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5C6-4998-9B84-4284089B8CDA}"/>
            </c:ext>
          </c:extLst>
        </c:ser>
        <c:ser>
          <c:idx val="0"/>
          <c:order val="3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'Summary '!$C$5:$C$16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'Summary '!$F$5:$F$16</c:f>
              <c:numCache>
                <c:formatCode>General</c:formatCode>
                <c:ptCount val="12"/>
                <c:pt idx="6">
                  <c:v>4624</c:v>
                </c:pt>
                <c:pt idx="7">
                  <c:v>4329</c:v>
                </c:pt>
                <c:pt idx="8">
                  <c:v>4501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5C6-4998-9B84-4284089B8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6331071"/>
        <c:axId val="726324351"/>
      </c:lineChart>
      <c:catAx>
        <c:axId val="726331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324351"/>
        <c:crosses val="autoZero"/>
        <c:auto val="1"/>
        <c:lblAlgn val="ctr"/>
        <c:lblOffset val="100"/>
        <c:noMultiLvlLbl val="0"/>
      </c:catAx>
      <c:valAx>
        <c:axId val="72632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331071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Month Wise OEE(Overall Equipment</a:t>
            </a:r>
            <a:r>
              <a:rPr lang="en-IN" b="1" baseline="0"/>
              <a:t> Efficiency)</a:t>
            </a:r>
            <a:r>
              <a:rPr lang="en-IN" b="1"/>
              <a:t>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'!$C$5:$C$16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'Summary '!$I$5:$I$16</c:f>
              <c:numCache>
                <c:formatCode>General</c:formatCode>
                <c:ptCount val="12"/>
                <c:pt idx="6" formatCode="0.00%">
                  <c:v>0.81809239766081876</c:v>
                </c:pt>
                <c:pt idx="7" formatCode="0.00%">
                  <c:v>0.83621604938271621</c:v>
                </c:pt>
                <c:pt idx="8" formatCode="0.00%">
                  <c:v>0.81300162962962907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CB-45C1-AC08-F2AE97A528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26354591"/>
        <c:axId val="726343551"/>
      </c:barChart>
      <c:catAx>
        <c:axId val="726354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343551"/>
        <c:crosses val="autoZero"/>
        <c:auto val="1"/>
        <c:lblAlgn val="ctr"/>
        <c:lblOffset val="100"/>
        <c:noMultiLvlLbl val="0"/>
      </c:catAx>
      <c:valAx>
        <c:axId val="72634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354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Months Wise Downtime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'Down Time'!$D$4:$O$4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'Down Time'!$D$15:$O$15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15732</c:v>
                </c:pt>
                <c:pt idx="7">
                  <c:v>16115</c:v>
                </c:pt>
                <c:pt idx="8">
                  <c:v>15518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08-49E6-9243-075912DA2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810127"/>
        <c:axId val="393784687"/>
      </c:lineChart>
      <c:catAx>
        <c:axId val="393810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784687"/>
        <c:crosses val="autoZero"/>
        <c:auto val="1"/>
        <c:lblAlgn val="ctr"/>
        <c:lblOffset val="100"/>
        <c:noMultiLvlLbl val="0"/>
      </c:catAx>
      <c:valAx>
        <c:axId val="39378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810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Months Wise Rejection QTY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'Rejection Analysis'!$D$4:$O$4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'Rejection Analysis'!$D$17:$O$17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4624</c:v>
                </c:pt>
                <c:pt idx="7">
                  <c:v>4329</c:v>
                </c:pt>
                <c:pt idx="8">
                  <c:v>4501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35-4831-B4F0-BA5D5CCBAF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0730431"/>
        <c:axId val="590732351"/>
      </c:lineChart>
      <c:catAx>
        <c:axId val="59073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732351"/>
        <c:crosses val="autoZero"/>
        <c:auto val="1"/>
        <c:lblAlgn val="ctr"/>
        <c:lblOffset val="100"/>
        <c:noMultiLvlLbl val="0"/>
      </c:catAx>
      <c:valAx>
        <c:axId val="59073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730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Reason Wise Downtime (Pareto Chart)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Reason Wise Downtime (Pareto Chart)</a:t>
          </a:r>
        </a:p>
      </cx:txPr>
    </cx:title>
    <cx:plotArea>
      <cx:plotAreaRegion>
        <cx:series layoutId="clusteredColumn" uniqueId="{E930F856-16C0-46EE-868F-0978F73BEADF}">
          <cx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</cx:spPr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txPr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1121EFB7-B4F5-4259-8739-3F9D04448AF5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  <cx:spPr>
    <a:ln>
      <a:solidFill>
        <a:schemeClr val="tx1"/>
      </a:solidFill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>
      <cx:tx>
        <cx:txData>
          <cx:v>Reason Wise Rejection QTY(Pareto Chart)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Reason Wise Rejection QTY(Pareto Chart)</a:t>
          </a:r>
        </a:p>
      </cx:txPr>
    </cx:title>
    <cx:plotArea>
      <cx:plotAreaRegion>
        <cx:series layoutId="clusteredColumn" uniqueId="{D20369D1-B2D0-4C8A-A3F4-5A0590F04E4F}">
          <cx:spPr>
            <a:solidFill>
              <a:schemeClr val="accent6">
                <a:lumMod val="60000"/>
                <a:lumOff val="40000"/>
              </a:schemeClr>
            </a:solidFill>
          </cx:spPr>
          <cx:dataLabels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962B0141-EE18-4E6F-B5F6-06DBB247D8A4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  <cx:spPr>
    <a:ln>
      <a:solidFill>
        <a:schemeClr val="tx1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20</xdr:row>
      <xdr:rowOff>23812</xdr:rowOff>
    </xdr:from>
    <xdr:to>
      <xdr:col>5</xdr:col>
      <xdr:colOff>495299</xdr:colOff>
      <xdr:row>34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C7CC83-8162-7187-390F-9E84FB1EDF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676275</xdr:colOff>
      <xdr:row>20</xdr:row>
      <xdr:rowOff>14286</xdr:rowOff>
    </xdr:from>
    <xdr:to>
      <xdr:col>9</xdr:col>
      <xdr:colOff>28575</xdr:colOff>
      <xdr:row>34</xdr:row>
      <xdr:rowOff>190499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374F77-4F92-A7DF-C11C-40F73D4F92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9525</xdr:colOff>
      <xdr:row>35</xdr:row>
      <xdr:rowOff>185737</xdr:rowOff>
    </xdr:from>
    <xdr:to>
      <xdr:col>5</xdr:col>
      <xdr:colOff>476251</xdr:colOff>
      <xdr:row>50</xdr:row>
      <xdr:rowOff>71437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D8EB237-F197-AAE0-8801-D2C8979BD2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719136</xdr:colOff>
      <xdr:row>36</xdr:row>
      <xdr:rowOff>4762</xdr:rowOff>
    </xdr:from>
    <xdr:to>
      <xdr:col>8</xdr:col>
      <xdr:colOff>1476374</xdr:colOff>
      <xdr:row>50</xdr:row>
      <xdr:rowOff>80962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9E03DE6-BD76-EC83-54A5-12BF0388DB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20</xdr:row>
      <xdr:rowOff>23812</xdr:rowOff>
    </xdr:from>
    <xdr:to>
      <xdr:col>6</xdr:col>
      <xdr:colOff>295275</xdr:colOff>
      <xdr:row>34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4140F5-9B65-1543-8087-C700B2236E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457199</xdr:colOff>
      <xdr:row>20</xdr:row>
      <xdr:rowOff>23812</xdr:rowOff>
    </xdr:from>
    <xdr:to>
      <xdr:col>15</xdr:col>
      <xdr:colOff>581024</xdr:colOff>
      <xdr:row>34</xdr:row>
      <xdr:rowOff>100012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FC2566B4-115E-9DBA-D3FF-8DDE3DD216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00724" y="5510212"/>
              <a:ext cx="561022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20</xdr:row>
      <xdr:rowOff>109537</xdr:rowOff>
    </xdr:from>
    <xdr:to>
      <xdr:col>7</xdr:col>
      <xdr:colOff>47625</xdr:colOff>
      <xdr:row>34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721078-6C77-EE88-6DE0-DBAB3182B9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171450</xdr:colOff>
      <xdr:row>20</xdr:row>
      <xdr:rowOff>119062</xdr:rowOff>
    </xdr:from>
    <xdr:to>
      <xdr:col>15</xdr:col>
      <xdr:colOff>590550</xdr:colOff>
      <xdr:row>35</xdr:row>
      <xdr:rowOff>4762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C8ECE4D-EADA-3FAB-7B2C-644BF28186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05500" y="5434012"/>
              <a:ext cx="52959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1ED69-235C-4821-9B26-CCA8A6F17426}">
  <dimension ref="B2:L16"/>
  <sheetViews>
    <sheetView tabSelected="1" zoomScale="93" zoomScaleNormal="93" workbookViewId="0">
      <selection activeCell="L8" sqref="L8"/>
    </sheetView>
  </sheetViews>
  <sheetFormatPr defaultRowHeight="15" x14ac:dyDescent="0.25"/>
  <cols>
    <col min="3" max="3" width="16.28515625" customWidth="1"/>
    <col min="4" max="9" width="22.140625" customWidth="1"/>
  </cols>
  <sheetData>
    <row r="2" spans="2:12" ht="30" customHeight="1" x14ac:dyDescent="0.25">
      <c r="B2" s="33" t="s">
        <v>42</v>
      </c>
      <c r="C2" s="33"/>
      <c r="D2" s="33"/>
      <c r="E2" s="33"/>
      <c r="F2" s="33"/>
      <c r="G2" s="33"/>
      <c r="H2" s="33"/>
      <c r="I2" s="33"/>
    </row>
    <row r="3" spans="2:12" x14ac:dyDescent="0.25">
      <c r="B3" s="15"/>
      <c r="C3" s="15"/>
      <c r="D3" s="15"/>
      <c r="E3" s="15"/>
      <c r="F3" s="15"/>
      <c r="G3" s="15"/>
      <c r="H3" s="15"/>
    </row>
    <row r="4" spans="2:12" ht="27.6" customHeight="1" x14ac:dyDescent="0.25">
      <c r="B4" s="13" t="s">
        <v>36</v>
      </c>
      <c r="C4" s="13" t="s">
        <v>37</v>
      </c>
      <c r="D4" s="13" t="s">
        <v>39</v>
      </c>
      <c r="E4" s="13" t="s">
        <v>38</v>
      </c>
      <c r="F4" s="13" t="s">
        <v>7</v>
      </c>
      <c r="G4" s="13" t="s">
        <v>40</v>
      </c>
      <c r="H4" s="13" t="s">
        <v>41</v>
      </c>
      <c r="I4" s="13" t="s">
        <v>17</v>
      </c>
    </row>
    <row r="5" spans="2:12" ht="22.5" customHeight="1" x14ac:dyDescent="0.25">
      <c r="B5" s="14">
        <v>1</v>
      </c>
      <c r="C5" s="16" t="s">
        <v>43</v>
      </c>
      <c r="D5" s="9"/>
      <c r="E5" s="9"/>
      <c r="F5" s="9"/>
      <c r="G5" s="9"/>
      <c r="H5" s="9"/>
      <c r="I5" s="9"/>
    </row>
    <row r="6" spans="2:12" ht="22.5" customHeight="1" x14ac:dyDescent="0.25">
      <c r="B6" s="14">
        <v>2</v>
      </c>
      <c r="C6" s="16" t="s">
        <v>44</v>
      </c>
      <c r="D6" s="9"/>
      <c r="E6" s="9"/>
      <c r="F6" s="9"/>
      <c r="G6" s="9"/>
      <c r="H6" s="9"/>
      <c r="I6" s="9"/>
    </row>
    <row r="7" spans="2:12" ht="22.5" customHeight="1" x14ac:dyDescent="0.25">
      <c r="B7" s="14">
        <v>3</v>
      </c>
      <c r="C7" s="16" t="s">
        <v>45</v>
      </c>
      <c r="D7" s="9"/>
      <c r="E7" s="9"/>
      <c r="F7" s="9"/>
      <c r="G7" s="9"/>
      <c r="H7" s="9"/>
      <c r="I7" s="9"/>
    </row>
    <row r="8" spans="2:12" ht="22.5" customHeight="1" x14ac:dyDescent="0.25">
      <c r="B8" s="14">
        <v>4</v>
      </c>
      <c r="C8" s="16" t="s">
        <v>46</v>
      </c>
      <c r="D8" s="9"/>
      <c r="E8" s="9"/>
      <c r="F8" s="9"/>
      <c r="G8" s="9"/>
      <c r="H8" s="9"/>
      <c r="I8" s="9"/>
    </row>
    <row r="9" spans="2:12" ht="22.5" customHeight="1" x14ac:dyDescent="0.25">
      <c r="B9" s="14">
        <v>5</v>
      </c>
      <c r="C9" s="16" t="s">
        <v>47</v>
      </c>
      <c r="D9" s="9"/>
      <c r="E9" s="9"/>
      <c r="F9" s="9"/>
      <c r="G9" s="9"/>
      <c r="H9" s="9"/>
      <c r="I9" s="9"/>
    </row>
    <row r="10" spans="2:12" ht="22.5" customHeight="1" x14ac:dyDescent="0.25">
      <c r="B10" s="14">
        <v>6</v>
      </c>
      <c r="C10" s="16" t="s">
        <v>49</v>
      </c>
      <c r="D10" s="9"/>
      <c r="E10" s="9"/>
      <c r="F10" s="9"/>
      <c r="G10" s="9"/>
      <c r="H10" s="9"/>
      <c r="I10" s="9"/>
      <c r="L10" t="s">
        <v>97</v>
      </c>
    </row>
    <row r="11" spans="2:12" ht="22.5" customHeight="1" x14ac:dyDescent="0.25">
      <c r="B11" s="14">
        <v>7</v>
      </c>
      <c r="C11" s="16" t="s">
        <v>50</v>
      </c>
      <c r="D11" s="9">
        <f>July!F3</f>
        <v>192717</v>
      </c>
      <c r="E11" s="9">
        <f>July!G3</f>
        <v>188138</v>
      </c>
      <c r="F11" s="9">
        <f>July!H3</f>
        <v>4624</v>
      </c>
      <c r="G11" s="10">
        <f>July!I3</f>
        <v>2.2533548538066196E-2</v>
      </c>
      <c r="H11" s="32">
        <f>July!J3</f>
        <v>11069242.127146421</v>
      </c>
      <c r="I11" s="10">
        <f>July!R3</f>
        <v>0.81809239766081876</v>
      </c>
    </row>
    <row r="12" spans="2:12" ht="22.5" customHeight="1" x14ac:dyDescent="0.25">
      <c r="B12" s="14">
        <v>8</v>
      </c>
      <c r="C12" s="16" t="s">
        <v>51</v>
      </c>
      <c r="D12" s="9">
        <f>August!F3</f>
        <v>203195</v>
      </c>
      <c r="E12" s="9">
        <f>August!G3</f>
        <v>198495</v>
      </c>
      <c r="F12" s="9">
        <f>August!H3</f>
        <v>4329</v>
      </c>
      <c r="G12" s="10">
        <f>August!I3</f>
        <v>1.8261778010222524E-2</v>
      </c>
      <c r="H12" s="9">
        <f>August!J3</f>
        <v>10411217.248794351</v>
      </c>
      <c r="I12" s="10">
        <f>August!R3</f>
        <v>0.83621604938271621</v>
      </c>
    </row>
    <row r="13" spans="2:12" ht="22.5" customHeight="1" x14ac:dyDescent="0.25">
      <c r="B13" s="14">
        <v>9</v>
      </c>
      <c r="C13" s="16" t="s">
        <v>52</v>
      </c>
      <c r="D13" s="9">
        <f>September!F3</f>
        <v>190432</v>
      </c>
      <c r="E13" s="9">
        <f>September!G3</f>
        <v>185931</v>
      </c>
      <c r="F13" s="9">
        <f>September!H3</f>
        <v>4501</v>
      </c>
      <c r="G13" s="10">
        <f>September!I3</f>
        <v>2.3749578588257516E-2</v>
      </c>
      <c r="H13" s="9">
        <f>September!J3</f>
        <v>10687310.36471588</v>
      </c>
      <c r="I13" s="10">
        <f>September!R3</f>
        <v>0.81300162962962907</v>
      </c>
    </row>
    <row r="14" spans="2:12" ht="22.5" customHeight="1" x14ac:dyDescent="0.25">
      <c r="B14" s="14">
        <v>10</v>
      </c>
      <c r="C14" s="16" t="s">
        <v>53</v>
      </c>
      <c r="D14" s="9"/>
      <c r="E14" s="9"/>
      <c r="F14" s="9"/>
      <c r="G14" s="9"/>
      <c r="H14" s="9"/>
      <c r="I14" s="9"/>
    </row>
    <row r="15" spans="2:12" ht="22.5" customHeight="1" x14ac:dyDescent="0.25">
      <c r="B15" s="14">
        <v>11</v>
      </c>
      <c r="C15" s="16" t="s">
        <v>54</v>
      </c>
      <c r="D15" s="9"/>
      <c r="E15" s="9"/>
      <c r="F15" s="9"/>
      <c r="G15" s="9"/>
      <c r="H15" s="9"/>
      <c r="I15" s="9"/>
    </row>
    <row r="16" spans="2:12" ht="22.5" customHeight="1" x14ac:dyDescent="0.25">
      <c r="B16" s="14">
        <v>12</v>
      </c>
      <c r="C16" s="16" t="s">
        <v>55</v>
      </c>
      <c r="D16" s="9"/>
      <c r="E16" s="9"/>
      <c r="F16" s="9"/>
      <c r="G16" s="9"/>
      <c r="H16" s="9"/>
      <c r="I16" s="9"/>
    </row>
  </sheetData>
  <mergeCells count="1">
    <mergeCell ref="B2:I2"/>
  </mergeCells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359B6-4266-4F34-A35E-942E97EC478B}">
  <dimension ref="B2:P15"/>
  <sheetViews>
    <sheetView topLeftCell="A18" workbookViewId="0">
      <selection activeCell="G37" sqref="G37"/>
    </sheetView>
  </sheetViews>
  <sheetFormatPr defaultRowHeight="15" x14ac:dyDescent="0.25"/>
  <cols>
    <col min="1" max="1" width="3" customWidth="1"/>
    <col min="3" max="3" width="40.5703125" customWidth="1"/>
    <col min="16" max="16" width="8.7109375" customWidth="1"/>
  </cols>
  <sheetData>
    <row r="2" spans="2:16" ht="27" customHeight="1" x14ac:dyDescent="0.25">
      <c r="B2" s="22" t="s">
        <v>56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2:16" ht="11.45" customHeight="1" x14ac:dyDescent="0.25"/>
    <row r="4" spans="2:16" ht="31.5" customHeight="1" x14ac:dyDescent="0.25">
      <c r="B4" s="17" t="s">
        <v>57</v>
      </c>
      <c r="C4" s="17" t="s">
        <v>58</v>
      </c>
      <c r="D4" s="17" t="s">
        <v>59</v>
      </c>
      <c r="E4" s="17" t="s">
        <v>60</v>
      </c>
      <c r="F4" s="17" t="s">
        <v>61</v>
      </c>
      <c r="G4" s="17" t="s">
        <v>62</v>
      </c>
      <c r="H4" s="17" t="s">
        <v>47</v>
      </c>
      <c r="I4" s="17" t="s">
        <v>48</v>
      </c>
      <c r="J4" s="17" t="s">
        <v>63</v>
      </c>
      <c r="K4" s="17" t="s">
        <v>64</v>
      </c>
      <c r="L4" s="17" t="s">
        <v>65</v>
      </c>
      <c r="M4" s="17" t="s">
        <v>66</v>
      </c>
      <c r="N4" s="17" t="s">
        <v>67</v>
      </c>
      <c r="O4" s="17" t="s">
        <v>68</v>
      </c>
      <c r="P4" s="17" t="s">
        <v>69</v>
      </c>
    </row>
    <row r="5" spans="2:16" ht="24.95" customHeight="1" x14ac:dyDescent="0.25">
      <c r="B5" s="18">
        <v>1</v>
      </c>
      <c r="C5" s="16" t="s">
        <v>75</v>
      </c>
      <c r="E5" s="18"/>
      <c r="F5" s="18"/>
      <c r="G5" s="18"/>
      <c r="H5" s="18"/>
      <c r="I5" s="18"/>
      <c r="J5" s="18">
        <v>1425</v>
      </c>
      <c r="K5" s="18">
        <v>1485</v>
      </c>
      <c r="L5" s="18">
        <v>1375</v>
      </c>
      <c r="M5" s="18"/>
      <c r="N5" s="18"/>
      <c r="O5" s="18"/>
      <c r="P5" s="19">
        <f>SUM(D5:O5)</f>
        <v>4285</v>
      </c>
    </row>
    <row r="6" spans="2:16" ht="24.95" customHeight="1" x14ac:dyDescent="0.25">
      <c r="B6" s="18">
        <v>2</v>
      </c>
      <c r="C6" s="16" t="s">
        <v>76</v>
      </c>
      <c r="D6" s="31"/>
      <c r="E6" s="18"/>
      <c r="F6" s="18"/>
      <c r="G6" s="18"/>
      <c r="H6" s="18"/>
      <c r="I6" s="18"/>
      <c r="J6" s="18">
        <v>1680</v>
      </c>
      <c r="K6" s="18">
        <v>1720</v>
      </c>
      <c r="L6" s="18">
        <v>1640</v>
      </c>
      <c r="M6" s="18"/>
      <c r="N6" s="18"/>
      <c r="O6" s="18"/>
      <c r="P6" s="19">
        <f t="shared" ref="P6:P15" si="0">SUM(D6:O6)</f>
        <v>5040</v>
      </c>
    </row>
    <row r="7" spans="2:16" ht="24.95" customHeight="1" x14ac:dyDescent="0.25">
      <c r="B7" s="18">
        <v>3</v>
      </c>
      <c r="C7" s="16" t="s">
        <v>77</v>
      </c>
      <c r="D7" s="31"/>
      <c r="E7" s="18"/>
      <c r="F7" s="18"/>
      <c r="G7" s="18"/>
      <c r="H7" s="18"/>
      <c r="I7" s="18"/>
      <c r="J7" s="18">
        <v>1512</v>
      </c>
      <c r="K7" s="18">
        <v>1568</v>
      </c>
      <c r="L7" s="18">
        <v>1525</v>
      </c>
      <c r="M7" s="18"/>
      <c r="N7" s="18"/>
      <c r="O7" s="18"/>
      <c r="P7" s="19">
        <f t="shared" si="0"/>
        <v>4605</v>
      </c>
    </row>
    <row r="8" spans="2:16" ht="24.95" customHeight="1" x14ac:dyDescent="0.25">
      <c r="B8" s="18">
        <v>4</v>
      </c>
      <c r="C8" s="30" t="s">
        <v>78</v>
      </c>
      <c r="D8" s="31"/>
      <c r="E8" s="18"/>
      <c r="F8" s="18"/>
      <c r="G8" s="18"/>
      <c r="H8" s="18"/>
      <c r="I8" s="18"/>
      <c r="J8" s="18">
        <v>1375</v>
      </c>
      <c r="K8" s="18">
        <v>1395</v>
      </c>
      <c r="L8" s="18">
        <v>1415</v>
      </c>
      <c r="M8" s="18"/>
      <c r="N8" s="18"/>
      <c r="O8" s="18"/>
      <c r="P8" s="19">
        <f t="shared" si="0"/>
        <v>4185</v>
      </c>
    </row>
    <row r="9" spans="2:16" ht="24.95" customHeight="1" x14ac:dyDescent="0.25">
      <c r="B9" s="18">
        <v>5</v>
      </c>
      <c r="C9" s="30" t="s">
        <v>79</v>
      </c>
      <c r="D9" s="31"/>
      <c r="E9" s="18"/>
      <c r="F9" s="18"/>
      <c r="G9" s="18"/>
      <c r="H9" s="18"/>
      <c r="I9" s="18"/>
      <c r="J9" s="18">
        <v>1740</v>
      </c>
      <c r="K9" s="18">
        <v>1840</v>
      </c>
      <c r="L9" s="18">
        <v>1780</v>
      </c>
      <c r="M9" s="18"/>
      <c r="N9" s="18"/>
      <c r="O9" s="18"/>
      <c r="P9" s="19">
        <f t="shared" si="0"/>
        <v>5360</v>
      </c>
    </row>
    <row r="10" spans="2:16" ht="24.95" customHeight="1" x14ac:dyDescent="0.25">
      <c r="B10" s="18">
        <v>6</v>
      </c>
      <c r="C10" s="30" t="s">
        <v>80</v>
      </c>
      <c r="D10" s="31"/>
      <c r="E10" s="18"/>
      <c r="F10" s="18"/>
      <c r="G10" s="18"/>
      <c r="H10" s="18"/>
      <c r="I10" s="18"/>
      <c r="J10" s="18">
        <v>1589</v>
      </c>
      <c r="K10" s="18">
        <v>1625</v>
      </c>
      <c r="L10" s="18">
        <v>1595</v>
      </c>
      <c r="M10" s="18"/>
      <c r="N10" s="18"/>
      <c r="O10" s="18"/>
      <c r="P10" s="19">
        <f t="shared" si="0"/>
        <v>4809</v>
      </c>
    </row>
    <row r="11" spans="2:16" ht="24.95" customHeight="1" x14ac:dyDescent="0.25">
      <c r="B11" s="18">
        <v>7</v>
      </c>
      <c r="C11" s="30" t="s">
        <v>81</v>
      </c>
      <c r="D11" s="31"/>
      <c r="E11" s="18"/>
      <c r="F11" s="18"/>
      <c r="G11" s="18"/>
      <c r="H11" s="18"/>
      <c r="I11" s="18"/>
      <c r="J11" s="18">
        <v>1468</v>
      </c>
      <c r="K11" s="18">
        <v>1450</v>
      </c>
      <c r="L11" s="18">
        <v>1450</v>
      </c>
      <c r="M11" s="18"/>
      <c r="N11" s="18"/>
      <c r="O11" s="18"/>
      <c r="P11" s="19">
        <f t="shared" si="0"/>
        <v>4368</v>
      </c>
    </row>
    <row r="12" spans="2:16" ht="24.95" customHeight="1" x14ac:dyDescent="0.25">
      <c r="B12" s="18">
        <v>8</v>
      </c>
      <c r="C12" s="30" t="s">
        <v>82</v>
      </c>
      <c r="D12" s="31"/>
      <c r="E12" s="18"/>
      <c r="F12" s="18"/>
      <c r="G12" s="18"/>
      <c r="H12" s="18"/>
      <c r="I12" s="18"/>
      <c r="J12" s="18">
        <v>1728</v>
      </c>
      <c r="K12" s="18">
        <v>1735</v>
      </c>
      <c r="L12" s="18">
        <v>1685</v>
      </c>
      <c r="M12" s="18"/>
      <c r="N12" s="18"/>
      <c r="O12" s="18"/>
      <c r="P12" s="19">
        <f t="shared" si="0"/>
        <v>5148</v>
      </c>
    </row>
    <row r="13" spans="2:16" ht="24.95" customHeight="1" x14ac:dyDescent="0.25">
      <c r="B13" s="18">
        <v>9</v>
      </c>
      <c r="C13" s="30" t="s">
        <v>83</v>
      </c>
      <c r="D13" s="31"/>
      <c r="E13" s="18"/>
      <c r="F13" s="18"/>
      <c r="G13" s="18"/>
      <c r="H13" s="18"/>
      <c r="I13" s="18"/>
      <c r="J13" s="18">
        <v>1328</v>
      </c>
      <c r="K13" s="18">
        <v>1312</v>
      </c>
      <c r="L13" s="18">
        <v>1323</v>
      </c>
      <c r="M13" s="18"/>
      <c r="N13" s="18"/>
      <c r="O13" s="18"/>
      <c r="P13" s="19">
        <f t="shared" si="0"/>
        <v>3963</v>
      </c>
    </row>
    <row r="14" spans="2:16" ht="24.95" customHeight="1" x14ac:dyDescent="0.25">
      <c r="B14" s="18">
        <v>10</v>
      </c>
      <c r="C14" s="30" t="s">
        <v>84</v>
      </c>
      <c r="D14" s="31"/>
      <c r="E14" s="18"/>
      <c r="F14" s="18"/>
      <c r="G14" s="18"/>
      <c r="H14" s="18"/>
      <c r="I14" s="18"/>
      <c r="J14" s="18">
        <v>1887</v>
      </c>
      <c r="K14" s="18">
        <v>1985</v>
      </c>
      <c r="L14" s="18">
        <v>1730</v>
      </c>
      <c r="M14" s="18"/>
      <c r="N14" s="18"/>
      <c r="O14" s="18"/>
      <c r="P14" s="19">
        <f t="shared" si="0"/>
        <v>5602</v>
      </c>
    </row>
    <row r="15" spans="2:16" ht="24.95" customHeight="1" x14ac:dyDescent="0.25">
      <c r="B15" s="23" t="s">
        <v>69</v>
      </c>
      <c r="C15" s="24"/>
      <c r="D15" s="21">
        <f>SUM(D5:D14)</f>
        <v>0</v>
      </c>
      <c r="E15" s="21">
        <f>SUM(E5:E14)</f>
        <v>0</v>
      </c>
      <c r="F15" s="21">
        <f>SUM(F5:F14)</f>
        <v>0</v>
      </c>
      <c r="G15" s="21">
        <f>SUM(G5:G14)</f>
        <v>0</v>
      </c>
      <c r="H15" s="21">
        <f>SUM(H5:H14)</f>
        <v>0</v>
      </c>
      <c r="I15" s="21">
        <f>SUM(I5:I14)</f>
        <v>0</v>
      </c>
      <c r="J15" s="21">
        <f>SUM(J5:J14)</f>
        <v>15732</v>
      </c>
      <c r="K15" s="21">
        <f>SUM(K5:K14)</f>
        <v>16115</v>
      </c>
      <c r="L15" s="21">
        <f>SUM(L5:L14)</f>
        <v>15518</v>
      </c>
      <c r="M15" s="21">
        <f>SUM(M5:M14)</f>
        <v>0</v>
      </c>
      <c r="N15" s="21">
        <f>SUM(N5:N14)</f>
        <v>0</v>
      </c>
      <c r="O15" s="21">
        <f>SUM(O5:O14)</f>
        <v>0</v>
      </c>
      <c r="P15" s="21">
        <f t="shared" si="0"/>
        <v>47365</v>
      </c>
    </row>
  </sheetData>
  <mergeCells count="2">
    <mergeCell ref="B2:P2"/>
    <mergeCell ref="B15:C1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0241D-73D7-494C-A701-1B80F289AAD6}">
  <dimension ref="B2:P17"/>
  <sheetViews>
    <sheetView workbookViewId="0">
      <selection activeCell="M5" sqref="M5"/>
    </sheetView>
  </sheetViews>
  <sheetFormatPr defaultRowHeight="15" x14ac:dyDescent="0.25"/>
  <cols>
    <col min="1" max="1" width="2.42578125" customWidth="1"/>
    <col min="3" max="3" width="37.85546875" customWidth="1"/>
  </cols>
  <sheetData>
    <row r="2" spans="2:16" ht="30.6" customHeight="1" x14ac:dyDescent="0.25">
      <c r="B2" s="22" t="s">
        <v>70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4" spans="2:16" ht="35.1" customHeight="1" x14ac:dyDescent="0.25">
      <c r="B4" s="17" t="s">
        <v>57</v>
      </c>
      <c r="C4" s="17" t="s">
        <v>74</v>
      </c>
      <c r="D4" s="17" t="s">
        <v>59</v>
      </c>
      <c r="E4" s="17" t="s">
        <v>60</v>
      </c>
      <c r="F4" s="17" t="s">
        <v>61</v>
      </c>
      <c r="G4" s="17" t="s">
        <v>62</v>
      </c>
      <c r="H4" s="17" t="s">
        <v>47</v>
      </c>
      <c r="I4" s="17" t="s">
        <v>48</v>
      </c>
      <c r="J4" s="17" t="s">
        <v>63</v>
      </c>
      <c r="K4" s="17" t="s">
        <v>64</v>
      </c>
      <c r="L4" s="17" t="s">
        <v>65</v>
      </c>
      <c r="M4" s="17" t="s">
        <v>66</v>
      </c>
      <c r="N4" s="17" t="s">
        <v>67</v>
      </c>
      <c r="O4" s="17" t="s">
        <v>68</v>
      </c>
      <c r="P4" s="17" t="s">
        <v>69</v>
      </c>
    </row>
    <row r="5" spans="2:16" ht="21.6" customHeight="1" x14ac:dyDescent="0.25">
      <c r="B5" s="18">
        <v>1</v>
      </c>
      <c r="C5" s="30" t="s">
        <v>85</v>
      </c>
      <c r="E5" s="18"/>
      <c r="F5" s="18"/>
      <c r="G5" s="18"/>
      <c r="H5" s="18"/>
      <c r="I5" s="18"/>
      <c r="J5" s="18">
        <v>325</v>
      </c>
      <c r="K5" s="18">
        <v>345</v>
      </c>
      <c r="L5" s="18">
        <v>352</v>
      </c>
      <c r="M5" s="18"/>
      <c r="N5" s="18"/>
      <c r="O5" s="18"/>
      <c r="P5" s="20">
        <f>SUM(D5:O5)</f>
        <v>1022</v>
      </c>
    </row>
    <row r="6" spans="2:16" ht="21.6" customHeight="1" x14ac:dyDescent="0.25">
      <c r="B6" s="18">
        <v>2</v>
      </c>
      <c r="C6" s="30" t="s">
        <v>86</v>
      </c>
      <c r="D6" s="18"/>
      <c r="E6" s="18"/>
      <c r="F6" s="18"/>
      <c r="G6" s="18"/>
      <c r="H6" s="18"/>
      <c r="I6" s="18"/>
      <c r="J6" s="18">
        <v>410</v>
      </c>
      <c r="K6" s="18">
        <v>382</v>
      </c>
      <c r="L6" s="18">
        <v>418</v>
      </c>
      <c r="M6" s="18"/>
      <c r="N6" s="18"/>
      <c r="O6" s="18"/>
      <c r="P6" s="20">
        <f t="shared" ref="P6:P16" si="0">SUM(D6:O6)</f>
        <v>1210</v>
      </c>
    </row>
    <row r="7" spans="2:16" ht="21.6" customHeight="1" x14ac:dyDescent="0.25">
      <c r="B7" s="18">
        <v>3</v>
      </c>
      <c r="C7" s="30" t="s">
        <v>87</v>
      </c>
      <c r="D7" s="18"/>
      <c r="E7" s="18"/>
      <c r="F7" s="18"/>
      <c r="G7" s="18"/>
      <c r="H7" s="18"/>
      <c r="I7" s="18"/>
      <c r="J7" s="18">
        <v>368</v>
      </c>
      <c r="K7" s="18">
        <v>410</v>
      </c>
      <c r="L7" s="18">
        <v>375</v>
      </c>
      <c r="M7" s="18"/>
      <c r="N7" s="18"/>
      <c r="O7" s="18"/>
      <c r="P7" s="20">
        <f t="shared" si="0"/>
        <v>1153</v>
      </c>
    </row>
    <row r="8" spans="2:16" ht="21.6" customHeight="1" x14ac:dyDescent="0.25">
      <c r="B8" s="18">
        <v>4</v>
      </c>
      <c r="C8" s="30" t="s">
        <v>88</v>
      </c>
      <c r="D8" s="18"/>
      <c r="E8" s="18"/>
      <c r="F8" s="18"/>
      <c r="G8" s="18"/>
      <c r="H8" s="18"/>
      <c r="I8" s="18"/>
      <c r="J8" s="18">
        <v>295</v>
      </c>
      <c r="K8" s="18">
        <v>296</v>
      </c>
      <c r="L8" s="18">
        <v>290</v>
      </c>
      <c r="M8" s="18"/>
      <c r="N8" s="18"/>
      <c r="O8" s="18"/>
      <c r="P8" s="20">
        <f t="shared" si="0"/>
        <v>881</v>
      </c>
    </row>
    <row r="9" spans="2:16" ht="21.6" customHeight="1" x14ac:dyDescent="0.25">
      <c r="B9" s="18">
        <v>5</v>
      </c>
      <c r="C9" s="30" t="s">
        <v>89</v>
      </c>
      <c r="D9" s="18"/>
      <c r="E9" s="18"/>
      <c r="F9" s="18"/>
      <c r="G9" s="18"/>
      <c r="H9" s="18"/>
      <c r="I9" s="18"/>
      <c r="J9" s="18">
        <v>442</v>
      </c>
      <c r="K9" s="18">
        <v>375</v>
      </c>
      <c r="L9" s="18">
        <v>405</v>
      </c>
      <c r="M9" s="18"/>
      <c r="N9" s="18"/>
      <c r="O9" s="18"/>
      <c r="P9" s="20">
        <f t="shared" si="0"/>
        <v>1222</v>
      </c>
    </row>
    <row r="10" spans="2:16" ht="21.6" customHeight="1" x14ac:dyDescent="0.25">
      <c r="B10" s="18">
        <v>6</v>
      </c>
      <c r="C10" s="30" t="s">
        <v>90</v>
      </c>
      <c r="D10" s="18"/>
      <c r="E10" s="18"/>
      <c r="F10" s="18"/>
      <c r="G10" s="18"/>
      <c r="H10" s="18"/>
      <c r="I10" s="18"/>
      <c r="J10" s="18">
        <v>376</v>
      </c>
      <c r="K10" s="18">
        <v>328</v>
      </c>
      <c r="L10" s="18">
        <v>367</v>
      </c>
      <c r="M10" s="18"/>
      <c r="N10" s="18"/>
      <c r="O10" s="18"/>
      <c r="P10" s="20">
        <f t="shared" si="0"/>
        <v>1071</v>
      </c>
    </row>
    <row r="11" spans="2:16" ht="21.6" customHeight="1" x14ac:dyDescent="0.25">
      <c r="B11" s="18">
        <v>7</v>
      </c>
      <c r="C11" s="29" t="s">
        <v>91</v>
      </c>
      <c r="D11" s="18"/>
      <c r="E11" s="18"/>
      <c r="F11" s="18"/>
      <c r="G11" s="18"/>
      <c r="H11" s="18"/>
      <c r="I11" s="18"/>
      <c r="J11" s="18">
        <v>350</v>
      </c>
      <c r="K11" s="18">
        <v>401</v>
      </c>
      <c r="L11" s="18">
        <v>390</v>
      </c>
      <c r="M11" s="18"/>
      <c r="N11" s="18"/>
      <c r="O11" s="18"/>
      <c r="P11" s="20">
        <f t="shared" si="0"/>
        <v>1141</v>
      </c>
    </row>
    <row r="12" spans="2:16" ht="21.6" customHeight="1" x14ac:dyDescent="0.25">
      <c r="B12" s="18">
        <v>8</v>
      </c>
      <c r="C12" s="29" t="s">
        <v>92</v>
      </c>
      <c r="D12" s="18"/>
      <c r="E12" s="18"/>
      <c r="F12" s="18"/>
      <c r="G12" s="18"/>
      <c r="H12" s="18"/>
      <c r="I12" s="18"/>
      <c r="J12" s="18">
        <v>415</v>
      </c>
      <c r="K12" s="18">
        <v>354</v>
      </c>
      <c r="L12" s="18">
        <v>328</v>
      </c>
      <c r="M12" s="18"/>
      <c r="N12" s="18"/>
      <c r="O12" s="18"/>
      <c r="P12" s="20">
        <f t="shared" si="0"/>
        <v>1097</v>
      </c>
    </row>
    <row r="13" spans="2:16" ht="21.6" customHeight="1" x14ac:dyDescent="0.25">
      <c r="B13" s="18">
        <v>9</v>
      </c>
      <c r="C13" s="30" t="s">
        <v>93</v>
      </c>
      <c r="D13" s="18"/>
      <c r="E13" s="18"/>
      <c r="F13" s="18"/>
      <c r="G13" s="18"/>
      <c r="H13" s="18"/>
      <c r="I13" s="18"/>
      <c r="J13" s="18">
        <v>389</v>
      </c>
      <c r="K13" s="18">
        <v>365</v>
      </c>
      <c r="L13" s="18">
        <v>412</v>
      </c>
      <c r="M13" s="18"/>
      <c r="N13" s="18"/>
      <c r="O13" s="18"/>
      <c r="P13" s="20">
        <f t="shared" si="0"/>
        <v>1166</v>
      </c>
    </row>
    <row r="14" spans="2:16" ht="21.6" customHeight="1" x14ac:dyDescent="0.25">
      <c r="B14" s="18">
        <v>10</v>
      </c>
      <c r="C14" s="30" t="s">
        <v>94</v>
      </c>
      <c r="D14" s="18"/>
      <c r="E14" s="18"/>
      <c r="F14" s="18"/>
      <c r="G14" s="18"/>
      <c r="H14" s="18"/>
      <c r="I14" s="18"/>
      <c r="J14" s="18">
        <v>360</v>
      </c>
      <c r="K14" s="18">
        <v>390</v>
      </c>
      <c r="L14" s="18">
        <v>356</v>
      </c>
      <c r="M14" s="18"/>
      <c r="N14" s="18"/>
      <c r="O14" s="18"/>
      <c r="P14" s="20">
        <f t="shared" si="0"/>
        <v>1106</v>
      </c>
    </row>
    <row r="15" spans="2:16" ht="21.6" customHeight="1" x14ac:dyDescent="0.25">
      <c r="B15" s="18">
        <v>11</v>
      </c>
      <c r="C15" s="30" t="s">
        <v>95</v>
      </c>
      <c r="D15" s="18"/>
      <c r="E15" s="18"/>
      <c r="F15" s="18"/>
      <c r="G15" s="18"/>
      <c r="H15" s="18"/>
      <c r="I15" s="18"/>
      <c r="J15" s="18">
        <v>448</v>
      </c>
      <c r="K15" s="18">
        <v>312</v>
      </c>
      <c r="L15" s="18">
        <v>384</v>
      </c>
      <c r="M15" s="18"/>
      <c r="N15" s="18"/>
      <c r="O15" s="18"/>
      <c r="P15" s="20">
        <f t="shared" si="0"/>
        <v>1144</v>
      </c>
    </row>
    <row r="16" spans="2:16" ht="21.6" customHeight="1" x14ac:dyDescent="0.25">
      <c r="B16" s="18">
        <v>12</v>
      </c>
      <c r="C16" s="30" t="s">
        <v>96</v>
      </c>
      <c r="D16" s="18"/>
      <c r="E16" s="18"/>
      <c r="F16" s="18"/>
      <c r="G16" s="18"/>
      <c r="H16" s="18"/>
      <c r="I16" s="18"/>
      <c r="J16" s="18">
        <v>446</v>
      </c>
      <c r="K16" s="18">
        <v>371</v>
      </c>
      <c r="L16" s="18">
        <v>424</v>
      </c>
      <c r="M16" s="18"/>
      <c r="N16" s="18"/>
      <c r="O16" s="18"/>
      <c r="P16" s="20">
        <f t="shared" si="0"/>
        <v>1241</v>
      </c>
    </row>
    <row r="17" spans="2:16" ht="27" customHeight="1" x14ac:dyDescent="0.25">
      <c r="B17" s="23" t="s">
        <v>69</v>
      </c>
      <c r="C17" s="24"/>
      <c r="D17" s="21">
        <f>SUM(D5:D16)</f>
        <v>0</v>
      </c>
      <c r="E17" s="21">
        <f>SUM(E5:E16)</f>
        <v>0</v>
      </c>
      <c r="F17" s="21">
        <f>SUM(F5:F16)</f>
        <v>0</v>
      </c>
      <c r="G17" s="21">
        <f>SUM(G5:G16)</f>
        <v>0</v>
      </c>
      <c r="H17" s="21">
        <f>SUM(H5:H16)</f>
        <v>0</v>
      </c>
      <c r="I17" s="21">
        <f>SUM(I5:I16)</f>
        <v>0</v>
      </c>
      <c r="J17" s="21">
        <f>SUM(J5:J16)</f>
        <v>4624</v>
      </c>
      <c r="K17" s="21">
        <f>SUM(K5:K16)</f>
        <v>4329</v>
      </c>
      <c r="L17" s="21">
        <f>SUM(L5:L16)</f>
        <v>4501</v>
      </c>
      <c r="M17" s="21">
        <f>SUM(M5:M16)</f>
        <v>0</v>
      </c>
      <c r="N17" s="21">
        <f>SUM(N5:N16)</f>
        <v>0</v>
      </c>
      <c r="O17" s="21">
        <f>SUM(O5:O16)</f>
        <v>0</v>
      </c>
      <c r="P17" s="21">
        <f>SUM(P5:P16)</f>
        <v>13454</v>
      </c>
    </row>
  </sheetData>
  <mergeCells count="2">
    <mergeCell ref="B17:C17"/>
    <mergeCell ref="B2:P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69"/>
  <sheetViews>
    <sheetView workbookViewId="0">
      <pane ySplit="4" topLeftCell="A5" activePane="bottomLeft" state="frozen"/>
      <selection pane="bottomLeft" activeCell="M15" sqref="M15"/>
    </sheetView>
  </sheetViews>
  <sheetFormatPr defaultRowHeight="15" x14ac:dyDescent="0.25"/>
  <cols>
    <col min="1" max="1" width="9" customWidth="1"/>
    <col min="2" max="2" width="14" customWidth="1"/>
    <col min="3" max="3" width="16" customWidth="1"/>
    <col min="4" max="4" width="10" customWidth="1"/>
    <col min="5" max="5" width="20" customWidth="1"/>
    <col min="6" max="6" width="13" customWidth="1"/>
    <col min="7" max="7" width="10" customWidth="1"/>
    <col min="8" max="8" width="15" customWidth="1"/>
    <col min="9" max="9" width="10" customWidth="1"/>
    <col min="10" max="10" width="10.85546875" customWidth="1"/>
    <col min="11" max="11" width="13" customWidth="1"/>
    <col min="12" max="12" width="17" customWidth="1"/>
    <col min="13" max="13" width="25" customWidth="1"/>
    <col min="14" max="14" width="12" customWidth="1"/>
    <col min="15" max="16" width="14" customWidth="1"/>
    <col min="17" max="17" width="12" customWidth="1"/>
    <col min="18" max="18" width="15" customWidth="1"/>
  </cols>
  <sheetData>
    <row r="1" spans="1:18" x14ac:dyDescent="0.25">
      <c r="A1" s="25" t="s">
        <v>71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24.95" customHeight="1" x14ac:dyDescent="0.25">
      <c r="A3" s="8"/>
      <c r="B3" s="8"/>
      <c r="C3" s="8"/>
      <c r="D3" s="8"/>
      <c r="E3" s="8"/>
      <c r="F3" s="8">
        <f>SUM(F5:F1001)</f>
        <v>192717</v>
      </c>
      <c r="G3" s="8">
        <f>SUM(G5:G1000)</f>
        <v>188138</v>
      </c>
      <c r="H3" s="8">
        <f>SUM(H5:H1000)</f>
        <v>4624</v>
      </c>
      <c r="I3" s="11">
        <f>AVERAGE(I451:I1001)</f>
        <v>2.2533548538066196E-2</v>
      </c>
      <c r="J3" s="12">
        <f>SUM(J5:J1001)</f>
        <v>11069242.127146421</v>
      </c>
      <c r="K3" s="8"/>
      <c r="L3" s="8"/>
      <c r="M3" s="8"/>
      <c r="N3" s="8">
        <f>SUM(N5:N1000)</f>
        <v>15732</v>
      </c>
      <c r="O3" s="8"/>
      <c r="P3" s="8"/>
      <c r="Q3" s="8"/>
      <c r="R3" s="11">
        <f>AVERAGE(R451:R1001)</f>
        <v>0.81809239766081876</v>
      </c>
    </row>
    <row r="4" spans="1:18" s="1" customFormat="1" ht="26.1" customHeight="1" x14ac:dyDescent="0.2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</row>
    <row r="5" spans="1:18" x14ac:dyDescent="0.25">
      <c r="A5" s="3">
        <v>1</v>
      </c>
      <c r="B5" s="4">
        <v>46204</v>
      </c>
      <c r="C5" s="3" t="s">
        <v>18</v>
      </c>
      <c r="D5" s="3" t="s">
        <v>19</v>
      </c>
      <c r="E5" s="3" t="s">
        <v>20</v>
      </c>
      <c r="F5" s="3">
        <v>274</v>
      </c>
      <c r="G5" s="3">
        <v>265</v>
      </c>
      <c r="H5" s="3">
        <v>9</v>
      </c>
      <c r="I5" s="5">
        <f t="shared" ref="I5:I68" si="0">IFERROR(H5/F5,0)</f>
        <v>3.2846715328467155E-2</v>
      </c>
      <c r="J5" s="6">
        <f>H5/F5*1000000</f>
        <v>32846.715328467151</v>
      </c>
      <c r="K5" s="7">
        <v>1.47</v>
      </c>
      <c r="L5" s="3">
        <v>406</v>
      </c>
      <c r="M5" s="3">
        <v>450</v>
      </c>
      <c r="N5" s="3">
        <v>44</v>
      </c>
      <c r="O5" s="5">
        <f t="shared" ref="O5:O68" si="1">IFERROR(L5/M5,0)</f>
        <v>0.90222222222222226</v>
      </c>
      <c r="P5" s="5">
        <f t="shared" ref="P5:P68" si="2">IFERROR(F5*K5/L5,0)</f>
        <v>0.99206896551724133</v>
      </c>
      <c r="Q5" s="5">
        <f t="shared" ref="Q5:Q68" si="3">IFERROR(G5/F5,0)</f>
        <v>0.96715328467153283</v>
      </c>
      <c r="R5" s="5">
        <f t="shared" ref="R5:R68" si="4">O5*P5*Q5</f>
        <v>0.8656666666666667</v>
      </c>
    </row>
    <row r="6" spans="1:18" x14ac:dyDescent="0.25">
      <c r="A6" s="3">
        <v>2</v>
      </c>
      <c r="B6" s="4">
        <v>46204</v>
      </c>
      <c r="C6" s="3" t="s">
        <v>18</v>
      </c>
      <c r="D6" s="3" t="s">
        <v>21</v>
      </c>
      <c r="E6" s="3" t="s">
        <v>22</v>
      </c>
      <c r="F6" s="3">
        <v>875</v>
      </c>
      <c r="G6" s="3">
        <v>844</v>
      </c>
      <c r="H6" s="3">
        <v>31</v>
      </c>
      <c r="I6" s="5">
        <f t="shared" si="0"/>
        <v>3.5428571428571427E-2</v>
      </c>
      <c r="J6" s="6">
        <f t="shared" ref="J6:J69" si="5">H6/F6*1000000</f>
        <v>35428.571428571428</v>
      </c>
      <c r="K6" s="7">
        <v>0.49</v>
      </c>
      <c r="L6" s="3">
        <v>419</v>
      </c>
      <c r="M6" s="3">
        <v>450</v>
      </c>
      <c r="N6" s="3">
        <v>31</v>
      </c>
      <c r="O6" s="5">
        <f t="shared" si="1"/>
        <v>0.93111111111111111</v>
      </c>
      <c r="P6" s="5">
        <f t="shared" si="2"/>
        <v>1.0232696897374702</v>
      </c>
      <c r="Q6" s="5">
        <f t="shared" si="3"/>
        <v>0.96457142857142852</v>
      </c>
      <c r="R6" s="5">
        <f t="shared" si="4"/>
        <v>0.91902222222222218</v>
      </c>
    </row>
    <row r="7" spans="1:18" x14ac:dyDescent="0.25">
      <c r="A7" s="3">
        <v>3</v>
      </c>
      <c r="B7" s="4">
        <v>46204</v>
      </c>
      <c r="C7" s="3" t="s">
        <v>18</v>
      </c>
      <c r="D7" s="3" t="s">
        <v>23</v>
      </c>
      <c r="E7" s="3" t="s">
        <v>24</v>
      </c>
      <c r="F7" s="3">
        <v>248</v>
      </c>
      <c r="G7" s="3">
        <v>243</v>
      </c>
      <c r="H7" s="3">
        <v>5</v>
      </c>
      <c r="I7" s="5">
        <f t="shared" si="0"/>
        <v>2.0161290322580645E-2</v>
      </c>
      <c r="J7" s="6">
        <f t="shared" si="5"/>
        <v>20161.290322580644</v>
      </c>
      <c r="K7" s="7">
        <v>1.49</v>
      </c>
      <c r="L7" s="3">
        <v>414</v>
      </c>
      <c r="M7" s="3">
        <v>450</v>
      </c>
      <c r="N7" s="3">
        <v>36</v>
      </c>
      <c r="O7" s="5">
        <f t="shared" si="1"/>
        <v>0.92</v>
      </c>
      <c r="P7" s="5">
        <f t="shared" si="2"/>
        <v>0.89256038647342995</v>
      </c>
      <c r="Q7" s="5">
        <f t="shared" si="3"/>
        <v>0.97983870967741937</v>
      </c>
      <c r="R7" s="5">
        <f t="shared" si="4"/>
        <v>0.80460000000000009</v>
      </c>
    </row>
    <row r="8" spans="1:18" x14ac:dyDescent="0.25">
      <c r="A8" s="3">
        <v>4</v>
      </c>
      <c r="B8" s="4">
        <v>46204</v>
      </c>
      <c r="C8" s="3" t="s">
        <v>25</v>
      </c>
      <c r="D8" s="3" t="s">
        <v>19</v>
      </c>
      <c r="E8" s="3" t="s">
        <v>26</v>
      </c>
      <c r="F8" s="3">
        <v>243</v>
      </c>
      <c r="G8" s="3">
        <v>234</v>
      </c>
      <c r="H8" s="3">
        <v>9</v>
      </c>
      <c r="I8" s="5">
        <f t="shared" si="0"/>
        <v>3.7037037037037035E-2</v>
      </c>
      <c r="J8" s="6">
        <f t="shared" si="5"/>
        <v>37037.037037037036</v>
      </c>
      <c r="K8" s="7">
        <v>1.69</v>
      </c>
      <c r="L8" s="3">
        <v>438</v>
      </c>
      <c r="M8" s="3">
        <v>450</v>
      </c>
      <c r="N8" s="3">
        <v>12</v>
      </c>
      <c r="O8" s="5">
        <f t="shared" si="1"/>
        <v>0.97333333333333338</v>
      </c>
      <c r="P8" s="5">
        <f t="shared" si="2"/>
        <v>0.93760273972602726</v>
      </c>
      <c r="Q8" s="5">
        <f t="shared" si="3"/>
        <v>0.96296296296296291</v>
      </c>
      <c r="R8" s="5">
        <f t="shared" si="4"/>
        <v>0.8787999999999998</v>
      </c>
    </row>
    <row r="9" spans="1:18" x14ac:dyDescent="0.25">
      <c r="A9" s="3">
        <v>5</v>
      </c>
      <c r="B9" s="4">
        <v>46204</v>
      </c>
      <c r="C9" s="3" t="s">
        <v>25</v>
      </c>
      <c r="D9" s="3" t="s">
        <v>21</v>
      </c>
      <c r="E9" s="3" t="s">
        <v>26</v>
      </c>
      <c r="F9" s="3">
        <v>387</v>
      </c>
      <c r="G9" s="3">
        <v>385</v>
      </c>
      <c r="H9" s="3">
        <v>2</v>
      </c>
      <c r="I9" s="5">
        <f t="shared" si="0"/>
        <v>5.1679586563307496E-3</v>
      </c>
      <c r="J9" s="6">
        <f t="shared" si="5"/>
        <v>5167.9586563307494</v>
      </c>
      <c r="K9" s="7">
        <v>0.99</v>
      </c>
      <c r="L9" s="3">
        <v>418</v>
      </c>
      <c r="M9" s="3">
        <v>450</v>
      </c>
      <c r="N9" s="3">
        <v>32</v>
      </c>
      <c r="O9" s="5">
        <f t="shared" si="1"/>
        <v>0.92888888888888888</v>
      </c>
      <c r="P9" s="5">
        <f t="shared" si="2"/>
        <v>0.91657894736842105</v>
      </c>
      <c r="Q9" s="5">
        <f t="shared" si="3"/>
        <v>0.9948320413436692</v>
      </c>
      <c r="R9" s="5">
        <f t="shared" si="4"/>
        <v>0.84699999999999986</v>
      </c>
    </row>
    <row r="10" spans="1:18" x14ac:dyDescent="0.25">
      <c r="A10" s="3">
        <v>6</v>
      </c>
      <c r="B10" s="4">
        <v>46204</v>
      </c>
      <c r="C10" s="3" t="s">
        <v>25</v>
      </c>
      <c r="D10" s="3" t="s">
        <v>23</v>
      </c>
      <c r="E10" s="3" t="s">
        <v>27</v>
      </c>
      <c r="F10" s="3">
        <v>261</v>
      </c>
      <c r="G10" s="3">
        <v>252</v>
      </c>
      <c r="H10" s="3">
        <v>9</v>
      </c>
      <c r="I10" s="5">
        <f t="shared" si="0"/>
        <v>3.4482758620689655E-2</v>
      </c>
      <c r="J10" s="6">
        <f t="shared" si="5"/>
        <v>34482.758620689652</v>
      </c>
      <c r="K10" s="7">
        <v>1.55</v>
      </c>
      <c r="L10" s="3">
        <v>432</v>
      </c>
      <c r="M10" s="3">
        <v>450</v>
      </c>
      <c r="N10" s="3">
        <v>18</v>
      </c>
      <c r="O10" s="5">
        <f t="shared" si="1"/>
        <v>0.96</v>
      </c>
      <c r="P10" s="5">
        <f t="shared" si="2"/>
        <v>0.93645833333333339</v>
      </c>
      <c r="Q10" s="5">
        <f t="shared" si="3"/>
        <v>0.96551724137931039</v>
      </c>
      <c r="R10" s="5">
        <f t="shared" si="4"/>
        <v>0.8680000000000001</v>
      </c>
    </row>
    <row r="11" spans="1:18" x14ac:dyDescent="0.25">
      <c r="A11" s="3">
        <v>7</v>
      </c>
      <c r="B11" s="4">
        <v>46204</v>
      </c>
      <c r="C11" s="3" t="s">
        <v>28</v>
      </c>
      <c r="D11" s="3" t="s">
        <v>19</v>
      </c>
      <c r="E11" s="3" t="s">
        <v>20</v>
      </c>
      <c r="F11" s="3">
        <v>514</v>
      </c>
      <c r="G11" s="3">
        <v>496</v>
      </c>
      <c r="H11" s="3">
        <v>18</v>
      </c>
      <c r="I11" s="5">
        <f t="shared" si="0"/>
        <v>3.5019455252918288E-2</v>
      </c>
      <c r="J11" s="6">
        <f t="shared" si="5"/>
        <v>35019.455252918291</v>
      </c>
      <c r="K11" s="7">
        <v>0.86</v>
      </c>
      <c r="L11" s="3">
        <v>441</v>
      </c>
      <c r="M11" s="3">
        <v>450</v>
      </c>
      <c r="N11" s="3">
        <v>9</v>
      </c>
      <c r="O11" s="5">
        <f t="shared" si="1"/>
        <v>0.98</v>
      </c>
      <c r="P11" s="5">
        <f t="shared" si="2"/>
        <v>1.0023582766439909</v>
      </c>
      <c r="Q11" s="5">
        <f t="shared" si="3"/>
        <v>0.96498054474708173</v>
      </c>
      <c r="R11" s="5">
        <f t="shared" si="4"/>
        <v>0.94791111111111104</v>
      </c>
    </row>
    <row r="12" spans="1:18" x14ac:dyDescent="0.25">
      <c r="A12" s="3">
        <v>8</v>
      </c>
      <c r="B12" s="4">
        <v>46204</v>
      </c>
      <c r="C12" s="3" t="s">
        <v>28</v>
      </c>
      <c r="D12" s="3" t="s">
        <v>21</v>
      </c>
      <c r="E12" s="3" t="s">
        <v>29</v>
      </c>
      <c r="F12" s="3">
        <v>549</v>
      </c>
      <c r="G12" s="3">
        <v>546</v>
      </c>
      <c r="H12" s="3">
        <v>3</v>
      </c>
      <c r="I12" s="5">
        <f t="shared" si="0"/>
        <v>5.4644808743169399E-3</v>
      </c>
      <c r="J12" s="6">
        <f t="shared" si="5"/>
        <v>5464.4808743169397</v>
      </c>
      <c r="K12" s="7">
        <v>0.63</v>
      </c>
      <c r="L12" s="3">
        <v>386</v>
      </c>
      <c r="M12" s="3">
        <v>450</v>
      </c>
      <c r="N12" s="3">
        <v>64</v>
      </c>
      <c r="O12" s="5">
        <f t="shared" si="1"/>
        <v>0.85777777777777775</v>
      </c>
      <c r="P12" s="5">
        <f t="shared" si="2"/>
        <v>0.89603626943005188</v>
      </c>
      <c r="Q12" s="5">
        <f t="shared" si="3"/>
        <v>0.99453551912568305</v>
      </c>
      <c r="R12" s="5">
        <f t="shared" si="4"/>
        <v>0.76440000000000008</v>
      </c>
    </row>
    <row r="13" spans="1:18" x14ac:dyDescent="0.25">
      <c r="A13" s="3">
        <v>9</v>
      </c>
      <c r="B13" s="4">
        <v>46204</v>
      </c>
      <c r="C13" s="3" t="s">
        <v>28</v>
      </c>
      <c r="D13" s="3" t="s">
        <v>23</v>
      </c>
      <c r="E13" s="3" t="s">
        <v>20</v>
      </c>
      <c r="F13" s="3">
        <v>678</v>
      </c>
      <c r="G13" s="3">
        <v>648</v>
      </c>
      <c r="H13" s="3">
        <v>30</v>
      </c>
      <c r="I13" s="5">
        <f t="shared" si="0"/>
        <v>4.4247787610619468E-2</v>
      </c>
      <c r="J13" s="6">
        <f t="shared" si="5"/>
        <v>44247.787610619467</v>
      </c>
      <c r="K13" s="7">
        <v>0.56999999999999995</v>
      </c>
      <c r="L13" s="3">
        <v>400</v>
      </c>
      <c r="M13" s="3">
        <v>450</v>
      </c>
      <c r="N13" s="3">
        <v>50</v>
      </c>
      <c r="O13" s="5">
        <f t="shared" si="1"/>
        <v>0.88888888888888884</v>
      </c>
      <c r="P13" s="5">
        <f t="shared" si="2"/>
        <v>0.96614999999999995</v>
      </c>
      <c r="Q13" s="5">
        <f t="shared" si="3"/>
        <v>0.95575221238938057</v>
      </c>
      <c r="R13" s="5">
        <f t="shared" si="4"/>
        <v>0.82079999999999997</v>
      </c>
    </row>
    <row r="14" spans="1:18" x14ac:dyDescent="0.25">
      <c r="A14" s="3">
        <v>10</v>
      </c>
      <c r="B14" s="4">
        <v>46204</v>
      </c>
      <c r="C14" s="3" t="s">
        <v>30</v>
      </c>
      <c r="D14" s="3" t="s">
        <v>19</v>
      </c>
      <c r="E14" s="3" t="s">
        <v>31</v>
      </c>
      <c r="F14" s="3">
        <v>429</v>
      </c>
      <c r="G14" s="3">
        <v>419</v>
      </c>
      <c r="H14" s="3">
        <v>10</v>
      </c>
      <c r="I14" s="5">
        <f t="shared" si="0"/>
        <v>2.3310023310023312E-2</v>
      </c>
      <c r="J14" s="6">
        <f t="shared" si="5"/>
        <v>23310.023310023313</v>
      </c>
      <c r="K14" s="7">
        <v>0.82</v>
      </c>
      <c r="L14" s="3">
        <v>404</v>
      </c>
      <c r="M14" s="3">
        <v>450</v>
      </c>
      <c r="N14" s="3">
        <v>46</v>
      </c>
      <c r="O14" s="5">
        <f t="shared" si="1"/>
        <v>0.89777777777777779</v>
      </c>
      <c r="P14" s="5">
        <f t="shared" si="2"/>
        <v>0.87074257425742563</v>
      </c>
      <c r="Q14" s="5">
        <f t="shared" si="3"/>
        <v>0.9766899766899767</v>
      </c>
      <c r="R14" s="5">
        <f t="shared" si="4"/>
        <v>0.76351111111111103</v>
      </c>
    </row>
    <row r="15" spans="1:18" x14ac:dyDescent="0.25">
      <c r="A15" s="3">
        <v>11</v>
      </c>
      <c r="B15" s="4">
        <v>46204</v>
      </c>
      <c r="C15" s="3" t="s">
        <v>30</v>
      </c>
      <c r="D15" s="3" t="s">
        <v>21</v>
      </c>
      <c r="E15" s="3" t="s">
        <v>32</v>
      </c>
      <c r="F15" s="3">
        <v>604</v>
      </c>
      <c r="G15" s="3">
        <v>596</v>
      </c>
      <c r="H15" s="3">
        <v>8</v>
      </c>
      <c r="I15" s="5">
        <f t="shared" si="0"/>
        <v>1.3245033112582781E-2</v>
      </c>
      <c r="J15" s="6">
        <f t="shared" si="5"/>
        <v>13245.033112582782</v>
      </c>
      <c r="K15" s="7">
        <v>0.62</v>
      </c>
      <c r="L15" s="3">
        <v>417</v>
      </c>
      <c r="M15" s="3">
        <v>450</v>
      </c>
      <c r="N15" s="3">
        <v>33</v>
      </c>
      <c r="O15" s="5">
        <f t="shared" si="1"/>
        <v>0.92666666666666664</v>
      </c>
      <c r="P15" s="5">
        <f t="shared" si="2"/>
        <v>0.89803357314148691</v>
      </c>
      <c r="Q15" s="5">
        <f t="shared" si="3"/>
        <v>0.98675496688741726</v>
      </c>
      <c r="R15" s="5">
        <f t="shared" si="4"/>
        <v>0.82115555555555564</v>
      </c>
    </row>
    <row r="16" spans="1:18" x14ac:dyDescent="0.25">
      <c r="A16" s="3">
        <v>12</v>
      </c>
      <c r="B16" s="4">
        <v>46204</v>
      </c>
      <c r="C16" s="3" t="s">
        <v>30</v>
      </c>
      <c r="D16" s="3" t="s">
        <v>23</v>
      </c>
      <c r="E16" s="3" t="s">
        <v>22</v>
      </c>
      <c r="F16" s="3">
        <v>295</v>
      </c>
      <c r="G16" s="3">
        <v>284</v>
      </c>
      <c r="H16" s="3">
        <v>11</v>
      </c>
      <c r="I16" s="5">
        <f t="shared" si="0"/>
        <v>3.7288135593220341E-2</v>
      </c>
      <c r="J16" s="6">
        <f t="shared" si="5"/>
        <v>37288.135593220344</v>
      </c>
      <c r="K16" s="7">
        <v>1.32</v>
      </c>
      <c r="L16" s="3">
        <v>438</v>
      </c>
      <c r="M16" s="3">
        <v>450</v>
      </c>
      <c r="N16" s="3">
        <v>12</v>
      </c>
      <c r="O16" s="5">
        <f t="shared" si="1"/>
        <v>0.97333333333333338</v>
      </c>
      <c r="P16" s="5">
        <f t="shared" si="2"/>
        <v>0.88904109589041103</v>
      </c>
      <c r="Q16" s="5">
        <f t="shared" si="3"/>
        <v>0.96271186440677969</v>
      </c>
      <c r="R16" s="5">
        <f t="shared" si="4"/>
        <v>0.83306666666666673</v>
      </c>
    </row>
    <row r="17" spans="1:18" x14ac:dyDescent="0.25">
      <c r="A17" s="3">
        <v>13</v>
      </c>
      <c r="B17" s="4">
        <v>46204</v>
      </c>
      <c r="C17" s="3" t="s">
        <v>33</v>
      </c>
      <c r="D17" s="3" t="s">
        <v>19</v>
      </c>
      <c r="E17" s="3" t="s">
        <v>22</v>
      </c>
      <c r="F17" s="3">
        <v>317</v>
      </c>
      <c r="G17" s="3">
        <v>305</v>
      </c>
      <c r="H17" s="3">
        <v>12</v>
      </c>
      <c r="I17" s="5">
        <f t="shared" si="0"/>
        <v>3.7854889589905363E-2</v>
      </c>
      <c r="J17" s="6">
        <f t="shared" si="5"/>
        <v>37854.88958990536</v>
      </c>
      <c r="K17" s="7">
        <v>1.37</v>
      </c>
      <c r="L17" s="3">
        <v>440</v>
      </c>
      <c r="M17" s="3">
        <v>450</v>
      </c>
      <c r="N17" s="3">
        <v>10</v>
      </c>
      <c r="O17" s="5">
        <f t="shared" si="1"/>
        <v>0.97777777777777775</v>
      </c>
      <c r="P17" s="5">
        <f t="shared" si="2"/>
        <v>0.98702272727272733</v>
      </c>
      <c r="Q17" s="5">
        <f t="shared" si="3"/>
        <v>0.96214511041009465</v>
      </c>
      <c r="R17" s="5">
        <f t="shared" si="4"/>
        <v>0.92855555555555558</v>
      </c>
    </row>
    <row r="18" spans="1:18" x14ac:dyDescent="0.25">
      <c r="A18" s="3">
        <v>14</v>
      </c>
      <c r="B18" s="4">
        <v>46204</v>
      </c>
      <c r="C18" s="3" t="s">
        <v>33</v>
      </c>
      <c r="D18" s="3" t="s">
        <v>21</v>
      </c>
      <c r="E18" s="3" t="s">
        <v>20</v>
      </c>
      <c r="F18" s="3">
        <v>398</v>
      </c>
      <c r="G18" s="3">
        <v>385</v>
      </c>
      <c r="H18" s="3">
        <v>13</v>
      </c>
      <c r="I18" s="5">
        <f t="shared" si="0"/>
        <v>3.2663316582914576E-2</v>
      </c>
      <c r="J18" s="6">
        <f t="shared" si="5"/>
        <v>32663.316582914576</v>
      </c>
      <c r="K18" s="7">
        <v>0.91</v>
      </c>
      <c r="L18" s="3">
        <v>426</v>
      </c>
      <c r="M18" s="3">
        <v>450</v>
      </c>
      <c r="N18" s="3">
        <v>24</v>
      </c>
      <c r="O18" s="5">
        <f t="shared" si="1"/>
        <v>0.94666666666666666</v>
      </c>
      <c r="P18" s="5">
        <f t="shared" si="2"/>
        <v>0.85018779342723005</v>
      </c>
      <c r="Q18" s="5">
        <f t="shared" si="3"/>
        <v>0.96733668341708545</v>
      </c>
      <c r="R18" s="5">
        <f t="shared" si="4"/>
        <v>0.77855555555555556</v>
      </c>
    </row>
    <row r="19" spans="1:18" x14ac:dyDescent="0.25">
      <c r="A19" s="3">
        <v>15</v>
      </c>
      <c r="B19" s="4">
        <v>46204</v>
      </c>
      <c r="C19" s="3" t="s">
        <v>33</v>
      </c>
      <c r="D19" s="3" t="s">
        <v>23</v>
      </c>
      <c r="E19" s="3" t="s">
        <v>26</v>
      </c>
      <c r="F19" s="3">
        <v>561</v>
      </c>
      <c r="G19" s="3">
        <v>541</v>
      </c>
      <c r="H19" s="3">
        <v>20</v>
      </c>
      <c r="I19" s="5">
        <f t="shared" si="0"/>
        <v>3.5650623885918005E-2</v>
      </c>
      <c r="J19" s="6">
        <f t="shared" si="5"/>
        <v>35650.623885918008</v>
      </c>
      <c r="K19" s="7">
        <v>0.55000000000000004</v>
      </c>
      <c r="L19" s="3">
        <v>395</v>
      </c>
      <c r="M19" s="3">
        <v>450</v>
      </c>
      <c r="N19" s="3">
        <v>55</v>
      </c>
      <c r="O19" s="5">
        <f t="shared" si="1"/>
        <v>0.87777777777777777</v>
      </c>
      <c r="P19" s="5">
        <f t="shared" si="2"/>
        <v>0.7811392405063291</v>
      </c>
      <c r="Q19" s="5">
        <f t="shared" si="3"/>
        <v>0.964349376114082</v>
      </c>
      <c r="R19" s="5">
        <f t="shared" si="4"/>
        <v>0.66122222222222216</v>
      </c>
    </row>
    <row r="20" spans="1:18" x14ac:dyDescent="0.25">
      <c r="A20" s="3">
        <v>16</v>
      </c>
      <c r="B20" s="4">
        <v>46205</v>
      </c>
      <c r="C20" s="3" t="s">
        <v>18</v>
      </c>
      <c r="D20" s="3" t="s">
        <v>19</v>
      </c>
      <c r="E20" s="3" t="s">
        <v>26</v>
      </c>
      <c r="F20" s="3">
        <v>316</v>
      </c>
      <c r="G20" s="3">
        <v>305</v>
      </c>
      <c r="H20" s="3">
        <v>11</v>
      </c>
      <c r="I20" s="5">
        <f t="shared" si="0"/>
        <v>3.4810126582278479E-2</v>
      </c>
      <c r="J20" s="6">
        <f t="shared" si="5"/>
        <v>34810.126582278477</v>
      </c>
      <c r="K20" s="7">
        <v>1.31</v>
      </c>
      <c r="L20" s="3">
        <v>433</v>
      </c>
      <c r="M20" s="3">
        <v>450</v>
      </c>
      <c r="N20" s="3">
        <v>17</v>
      </c>
      <c r="O20" s="5">
        <f t="shared" si="1"/>
        <v>0.9622222222222222</v>
      </c>
      <c r="P20" s="5">
        <f t="shared" si="2"/>
        <v>0.95602771362586614</v>
      </c>
      <c r="Q20" s="5">
        <f t="shared" si="3"/>
        <v>0.96518987341772156</v>
      </c>
      <c r="R20" s="5">
        <f t="shared" si="4"/>
        <v>0.88788888888888895</v>
      </c>
    </row>
    <row r="21" spans="1:18" x14ac:dyDescent="0.25">
      <c r="A21" s="3">
        <v>17</v>
      </c>
      <c r="B21" s="4">
        <v>46205</v>
      </c>
      <c r="C21" s="3" t="s">
        <v>18</v>
      </c>
      <c r="D21" s="3" t="s">
        <v>21</v>
      </c>
      <c r="E21" s="3" t="s">
        <v>29</v>
      </c>
      <c r="F21" s="3">
        <v>331</v>
      </c>
      <c r="G21" s="3">
        <v>328</v>
      </c>
      <c r="H21" s="3">
        <v>3</v>
      </c>
      <c r="I21" s="5">
        <f t="shared" si="0"/>
        <v>9.0634441087613302E-3</v>
      </c>
      <c r="J21" s="6">
        <f t="shared" si="5"/>
        <v>9063.4441087613304</v>
      </c>
      <c r="K21" s="7">
        <v>1.02</v>
      </c>
      <c r="L21" s="3">
        <v>415</v>
      </c>
      <c r="M21" s="3">
        <v>450</v>
      </c>
      <c r="N21" s="3">
        <v>35</v>
      </c>
      <c r="O21" s="5">
        <f t="shared" si="1"/>
        <v>0.92222222222222228</v>
      </c>
      <c r="P21" s="5">
        <f t="shared" si="2"/>
        <v>0.81354216867469875</v>
      </c>
      <c r="Q21" s="5">
        <f t="shared" si="3"/>
        <v>0.99093655589123864</v>
      </c>
      <c r="R21" s="5">
        <f t="shared" si="4"/>
        <v>0.74346666666666661</v>
      </c>
    </row>
    <row r="22" spans="1:18" x14ac:dyDescent="0.25">
      <c r="A22" s="3">
        <v>18</v>
      </c>
      <c r="B22" s="4">
        <v>46205</v>
      </c>
      <c r="C22" s="3" t="s">
        <v>18</v>
      </c>
      <c r="D22" s="3" t="s">
        <v>23</v>
      </c>
      <c r="E22" s="3" t="s">
        <v>31</v>
      </c>
      <c r="F22" s="3">
        <v>279</v>
      </c>
      <c r="G22" s="3">
        <v>272</v>
      </c>
      <c r="H22" s="3">
        <v>7</v>
      </c>
      <c r="I22" s="5">
        <f t="shared" si="0"/>
        <v>2.5089605734767026E-2</v>
      </c>
      <c r="J22" s="6">
        <f t="shared" si="5"/>
        <v>25089.605734767025</v>
      </c>
      <c r="K22" s="7">
        <v>1.32</v>
      </c>
      <c r="L22" s="3">
        <v>411</v>
      </c>
      <c r="M22" s="3">
        <v>450</v>
      </c>
      <c r="N22" s="3">
        <v>39</v>
      </c>
      <c r="O22" s="5">
        <f t="shared" si="1"/>
        <v>0.91333333333333333</v>
      </c>
      <c r="P22" s="5">
        <f t="shared" si="2"/>
        <v>0.89605839416058397</v>
      </c>
      <c r="Q22" s="5">
        <f t="shared" si="3"/>
        <v>0.97491039426523296</v>
      </c>
      <c r="R22" s="5">
        <f t="shared" si="4"/>
        <v>0.79786666666666672</v>
      </c>
    </row>
    <row r="23" spans="1:18" x14ac:dyDescent="0.25">
      <c r="A23" s="3">
        <v>19</v>
      </c>
      <c r="B23" s="4">
        <v>46205</v>
      </c>
      <c r="C23" s="3" t="s">
        <v>25</v>
      </c>
      <c r="D23" s="3" t="s">
        <v>19</v>
      </c>
      <c r="E23" s="3" t="s">
        <v>22</v>
      </c>
      <c r="F23" s="3">
        <v>257</v>
      </c>
      <c r="G23" s="3">
        <v>250</v>
      </c>
      <c r="H23" s="3">
        <v>7</v>
      </c>
      <c r="I23" s="5">
        <f t="shared" si="0"/>
        <v>2.7237354085603113E-2</v>
      </c>
      <c r="J23" s="6">
        <f t="shared" si="5"/>
        <v>27237.354085603114</v>
      </c>
      <c r="K23" s="7">
        <v>1.46</v>
      </c>
      <c r="L23" s="3">
        <v>410</v>
      </c>
      <c r="M23" s="3">
        <v>450</v>
      </c>
      <c r="N23" s="3">
        <v>40</v>
      </c>
      <c r="O23" s="5">
        <f t="shared" si="1"/>
        <v>0.91111111111111109</v>
      </c>
      <c r="P23" s="5">
        <f t="shared" si="2"/>
        <v>0.915170731707317</v>
      </c>
      <c r="Q23" s="5">
        <f t="shared" si="3"/>
        <v>0.97276264591439687</v>
      </c>
      <c r="R23" s="5">
        <f t="shared" si="4"/>
        <v>0.81111111111111101</v>
      </c>
    </row>
    <row r="24" spans="1:18" x14ac:dyDescent="0.25">
      <c r="A24" s="3">
        <v>20</v>
      </c>
      <c r="B24" s="4">
        <v>46205</v>
      </c>
      <c r="C24" s="3" t="s">
        <v>25</v>
      </c>
      <c r="D24" s="3" t="s">
        <v>21</v>
      </c>
      <c r="E24" s="3" t="s">
        <v>29</v>
      </c>
      <c r="F24" s="3">
        <v>405</v>
      </c>
      <c r="G24" s="3">
        <v>396</v>
      </c>
      <c r="H24" s="3">
        <v>9</v>
      </c>
      <c r="I24" s="5">
        <f t="shared" si="0"/>
        <v>2.2222222222222223E-2</v>
      </c>
      <c r="J24" s="6">
        <f t="shared" si="5"/>
        <v>22222.222222222223</v>
      </c>
      <c r="K24" s="7">
        <v>0.79</v>
      </c>
      <c r="L24" s="3">
        <v>407</v>
      </c>
      <c r="M24" s="3">
        <v>450</v>
      </c>
      <c r="N24" s="3">
        <v>43</v>
      </c>
      <c r="O24" s="5">
        <f t="shared" si="1"/>
        <v>0.9044444444444445</v>
      </c>
      <c r="P24" s="5">
        <f t="shared" si="2"/>
        <v>0.78611793611793612</v>
      </c>
      <c r="Q24" s="5">
        <f t="shared" si="3"/>
        <v>0.97777777777777775</v>
      </c>
      <c r="R24" s="5">
        <f t="shared" si="4"/>
        <v>0.69520000000000004</v>
      </c>
    </row>
    <row r="25" spans="1:18" x14ac:dyDescent="0.25">
      <c r="A25" s="3">
        <v>21</v>
      </c>
      <c r="B25" s="4">
        <v>46205</v>
      </c>
      <c r="C25" s="3" t="s">
        <v>25</v>
      </c>
      <c r="D25" s="3" t="s">
        <v>23</v>
      </c>
      <c r="E25" s="3" t="s">
        <v>26</v>
      </c>
      <c r="F25" s="3">
        <v>645</v>
      </c>
      <c r="G25" s="3">
        <v>637</v>
      </c>
      <c r="H25" s="3">
        <v>8</v>
      </c>
      <c r="I25" s="5">
        <f t="shared" si="0"/>
        <v>1.2403100775193798E-2</v>
      </c>
      <c r="J25" s="6">
        <f t="shared" si="5"/>
        <v>12403.100775193798</v>
      </c>
      <c r="K25" s="7">
        <v>0.66</v>
      </c>
      <c r="L25" s="3">
        <v>429</v>
      </c>
      <c r="M25" s="3">
        <v>450</v>
      </c>
      <c r="N25" s="3">
        <v>21</v>
      </c>
      <c r="O25" s="5">
        <f t="shared" si="1"/>
        <v>0.95333333333333337</v>
      </c>
      <c r="P25" s="5">
        <f t="shared" si="2"/>
        <v>0.99230769230769245</v>
      </c>
      <c r="Q25" s="5">
        <f t="shared" si="3"/>
        <v>0.9875968992248062</v>
      </c>
      <c r="R25" s="5">
        <f t="shared" si="4"/>
        <v>0.9342666666666668</v>
      </c>
    </row>
    <row r="26" spans="1:18" x14ac:dyDescent="0.25">
      <c r="A26" s="3">
        <v>22</v>
      </c>
      <c r="B26" s="4">
        <v>46205</v>
      </c>
      <c r="C26" s="3" t="s">
        <v>28</v>
      </c>
      <c r="D26" s="3" t="s">
        <v>19</v>
      </c>
      <c r="E26" s="3" t="s">
        <v>29</v>
      </c>
      <c r="F26" s="3">
        <v>832</v>
      </c>
      <c r="G26" s="3">
        <v>819</v>
      </c>
      <c r="H26" s="3">
        <v>13</v>
      </c>
      <c r="I26" s="5">
        <f t="shared" si="0"/>
        <v>1.5625E-2</v>
      </c>
      <c r="J26" s="6">
        <f t="shared" si="5"/>
        <v>15625</v>
      </c>
      <c r="K26" s="7">
        <v>0.43</v>
      </c>
      <c r="L26" s="3">
        <v>421</v>
      </c>
      <c r="M26" s="3">
        <v>450</v>
      </c>
      <c r="N26" s="3">
        <v>29</v>
      </c>
      <c r="O26" s="5">
        <f t="shared" si="1"/>
        <v>0.93555555555555558</v>
      </c>
      <c r="P26" s="5">
        <f t="shared" si="2"/>
        <v>0.84978622327790976</v>
      </c>
      <c r="Q26" s="5">
        <f t="shared" si="3"/>
        <v>0.984375</v>
      </c>
      <c r="R26" s="5">
        <f t="shared" si="4"/>
        <v>0.78260000000000007</v>
      </c>
    </row>
    <row r="27" spans="1:18" x14ac:dyDescent="0.25">
      <c r="A27" s="3">
        <v>23</v>
      </c>
      <c r="B27" s="4">
        <v>46205</v>
      </c>
      <c r="C27" s="3" t="s">
        <v>28</v>
      </c>
      <c r="D27" s="3" t="s">
        <v>21</v>
      </c>
      <c r="E27" s="3" t="s">
        <v>32</v>
      </c>
      <c r="F27" s="3">
        <v>326</v>
      </c>
      <c r="G27" s="3">
        <v>316</v>
      </c>
      <c r="H27" s="3">
        <v>10</v>
      </c>
      <c r="I27" s="5">
        <f t="shared" si="0"/>
        <v>3.0674846625766871E-2</v>
      </c>
      <c r="J27" s="6">
        <f t="shared" si="5"/>
        <v>30674.84662576687</v>
      </c>
      <c r="K27" s="7">
        <v>1.31</v>
      </c>
      <c r="L27" s="3">
        <v>438</v>
      </c>
      <c r="M27" s="3">
        <v>450</v>
      </c>
      <c r="N27" s="3">
        <v>12</v>
      </c>
      <c r="O27" s="5">
        <f t="shared" si="1"/>
        <v>0.97333333333333338</v>
      </c>
      <c r="P27" s="5">
        <f t="shared" si="2"/>
        <v>0.97502283105022836</v>
      </c>
      <c r="Q27" s="5">
        <f t="shared" si="3"/>
        <v>0.96932515337423308</v>
      </c>
      <c r="R27" s="5">
        <f t="shared" si="4"/>
        <v>0.91991111111111112</v>
      </c>
    </row>
    <row r="28" spans="1:18" x14ac:dyDescent="0.25">
      <c r="A28" s="3">
        <v>24</v>
      </c>
      <c r="B28" s="4">
        <v>46205</v>
      </c>
      <c r="C28" s="3" t="s">
        <v>28</v>
      </c>
      <c r="D28" s="3" t="s">
        <v>23</v>
      </c>
      <c r="E28" s="3" t="s">
        <v>26</v>
      </c>
      <c r="F28" s="3">
        <v>431</v>
      </c>
      <c r="G28" s="3">
        <v>427</v>
      </c>
      <c r="H28" s="3">
        <v>4</v>
      </c>
      <c r="I28" s="5">
        <f t="shared" si="0"/>
        <v>9.2807424593967514E-3</v>
      </c>
      <c r="J28" s="6">
        <f t="shared" si="5"/>
        <v>9280.7424593967517</v>
      </c>
      <c r="K28" s="7">
        <v>0.94</v>
      </c>
      <c r="L28" s="3">
        <v>412</v>
      </c>
      <c r="M28" s="3">
        <v>450</v>
      </c>
      <c r="N28" s="3">
        <v>38</v>
      </c>
      <c r="O28" s="5">
        <f t="shared" si="1"/>
        <v>0.91555555555555557</v>
      </c>
      <c r="P28" s="5">
        <f t="shared" si="2"/>
        <v>0.98334951456310671</v>
      </c>
      <c r="Q28" s="5">
        <f t="shared" si="3"/>
        <v>0.99071925754060319</v>
      </c>
      <c r="R28" s="5">
        <f t="shared" si="4"/>
        <v>0.8919555555555555</v>
      </c>
    </row>
    <row r="29" spans="1:18" x14ac:dyDescent="0.25">
      <c r="A29" s="3">
        <v>25</v>
      </c>
      <c r="B29" s="4">
        <v>46205</v>
      </c>
      <c r="C29" s="3" t="s">
        <v>30</v>
      </c>
      <c r="D29" s="3" t="s">
        <v>19</v>
      </c>
      <c r="E29" s="3" t="s">
        <v>34</v>
      </c>
      <c r="F29" s="3">
        <v>1109</v>
      </c>
      <c r="G29" s="3">
        <v>1084</v>
      </c>
      <c r="H29" s="3">
        <v>25</v>
      </c>
      <c r="I29" s="5">
        <f t="shared" si="0"/>
        <v>2.2542831379621282E-2</v>
      </c>
      <c r="J29" s="6">
        <f t="shared" si="5"/>
        <v>22542.831379621282</v>
      </c>
      <c r="K29" s="7">
        <v>0.38</v>
      </c>
      <c r="L29" s="3">
        <v>439</v>
      </c>
      <c r="M29" s="3">
        <v>450</v>
      </c>
      <c r="N29" s="3">
        <v>11</v>
      </c>
      <c r="O29" s="5">
        <f t="shared" si="1"/>
        <v>0.97555555555555551</v>
      </c>
      <c r="P29" s="5">
        <f t="shared" si="2"/>
        <v>0.9599544419134397</v>
      </c>
      <c r="Q29" s="5">
        <f t="shared" si="3"/>
        <v>0.97745716862037868</v>
      </c>
      <c r="R29" s="5">
        <f t="shared" si="4"/>
        <v>0.91537777777777773</v>
      </c>
    </row>
    <row r="30" spans="1:18" x14ac:dyDescent="0.25">
      <c r="A30" s="3">
        <v>26</v>
      </c>
      <c r="B30" s="4">
        <v>46205</v>
      </c>
      <c r="C30" s="3" t="s">
        <v>30</v>
      </c>
      <c r="D30" s="3" t="s">
        <v>21</v>
      </c>
      <c r="E30" s="3" t="s">
        <v>31</v>
      </c>
      <c r="F30" s="3">
        <v>686</v>
      </c>
      <c r="G30" s="3">
        <v>680</v>
      </c>
      <c r="H30" s="3">
        <v>6</v>
      </c>
      <c r="I30" s="5">
        <f t="shared" si="0"/>
        <v>8.7463556851311956E-3</v>
      </c>
      <c r="J30" s="6">
        <f t="shared" si="5"/>
        <v>8746.3556851311951</v>
      </c>
      <c r="K30" s="7">
        <v>0.57999999999999996</v>
      </c>
      <c r="L30" s="3">
        <v>440</v>
      </c>
      <c r="M30" s="3">
        <v>450</v>
      </c>
      <c r="N30" s="3">
        <v>10</v>
      </c>
      <c r="O30" s="5">
        <f t="shared" si="1"/>
        <v>0.97777777777777775</v>
      </c>
      <c r="P30" s="5">
        <f t="shared" si="2"/>
        <v>0.90427272727272723</v>
      </c>
      <c r="Q30" s="5">
        <f t="shared" si="3"/>
        <v>0.99125364431486884</v>
      </c>
      <c r="R30" s="5">
        <f t="shared" si="4"/>
        <v>0.87644444444444447</v>
      </c>
    </row>
    <row r="31" spans="1:18" x14ac:dyDescent="0.25">
      <c r="A31" s="3">
        <v>27</v>
      </c>
      <c r="B31" s="4">
        <v>46205</v>
      </c>
      <c r="C31" s="3" t="s">
        <v>30</v>
      </c>
      <c r="D31" s="3" t="s">
        <v>23</v>
      </c>
      <c r="E31" s="3" t="s">
        <v>24</v>
      </c>
      <c r="F31" s="3">
        <v>267</v>
      </c>
      <c r="G31" s="3">
        <v>263</v>
      </c>
      <c r="H31" s="3">
        <v>4</v>
      </c>
      <c r="I31" s="5">
        <f t="shared" si="0"/>
        <v>1.4981273408239701E-2</v>
      </c>
      <c r="J31" s="6">
        <f t="shared" si="5"/>
        <v>14981.2734082397</v>
      </c>
      <c r="K31" s="7">
        <v>1.36</v>
      </c>
      <c r="L31" s="3">
        <v>415</v>
      </c>
      <c r="M31" s="3">
        <v>450</v>
      </c>
      <c r="N31" s="3">
        <v>35</v>
      </c>
      <c r="O31" s="5">
        <f t="shared" si="1"/>
        <v>0.92222222222222228</v>
      </c>
      <c r="P31" s="5">
        <f t="shared" si="2"/>
        <v>0.87498795180722888</v>
      </c>
      <c r="Q31" s="5">
        <f t="shared" si="3"/>
        <v>0.98501872659176026</v>
      </c>
      <c r="R31" s="5">
        <f t="shared" si="4"/>
        <v>0.79484444444444446</v>
      </c>
    </row>
    <row r="32" spans="1:18" x14ac:dyDescent="0.25">
      <c r="A32" s="3">
        <v>28</v>
      </c>
      <c r="B32" s="4">
        <v>46205</v>
      </c>
      <c r="C32" s="3" t="s">
        <v>33</v>
      </c>
      <c r="D32" s="3" t="s">
        <v>19</v>
      </c>
      <c r="E32" s="3" t="s">
        <v>22</v>
      </c>
      <c r="F32" s="3">
        <v>288</v>
      </c>
      <c r="G32" s="3">
        <v>286</v>
      </c>
      <c r="H32" s="3">
        <v>2</v>
      </c>
      <c r="I32" s="5">
        <f t="shared" si="0"/>
        <v>6.9444444444444441E-3</v>
      </c>
      <c r="J32" s="6">
        <f t="shared" si="5"/>
        <v>6944.4444444444443</v>
      </c>
      <c r="K32" s="7">
        <v>1.26</v>
      </c>
      <c r="L32" s="3">
        <v>418</v>
      </c>
      <c r="M32" s="3">
        <v>450</v>
      </c>
      <c r="N32" s="3">
        <v>32</v>
      </c>
      <c r="O32" s="5">
        <f t="shared" si="1"/>
        <v>0.92888888888888888</v>
      </c>
      <c r="P32" s="5">
        <f t="shared" si="2"/>
        <v>0.86813397129186598</v>
      </c>
      <c r="Q32" s="5">
        <f t="shared" si="3"/>
        <v>0.99305555555555558</v>
      </c>
      <c r="R32" s="5">
        <f t="shared" si="4"/>
        <v>0.80079999999999996</v>
      </c>
    </row>
    <row r="33" spans="1:18" x14ac:dyDescent="0.25">
      <c r="A33" s="3">
        <v>29</v>
      </c>
      <c r="B33" s="4">
        <v>46205</v>
      </c>
      <c r="C33" s="3" t="s">
        <v>33</v>
      </c>
      <c r="D33" s="3" t="s">
        <v>21</v>
      </c>
      <c r="E33" s="3" t="s">
        <v>27</v>
      </c>
      <c r="F33" s="3">
        <v>823</v>
      </c>
      <c r="G33" s="3">
        <v>796</v>
      </c>
      <c r="H33" s="3">
        <v>27</v>
      </c>
      <c r="I33" s="5">
        <f t="shared" si="0"/>
        <v>3.2806804374240585E-2</v>
      </c>
      <c r="J33" s="6">
        <f t="shared" si="5"/>
        <v>32806.804374240586</v>
      </c>
      <c r="K33" s="7">
        <v>0.52</v>
      </c>
      <c r="L33" s="3">
        <v>425</v>
      </c>
      <c r="M33" s="3">
        <v>450</v>
      </c>
      <c r="N33" s="3">
        <v>25</v>
      </c>
      <c r="O33" s="5">
        <f t="shared" si="1"/>
        <v>0.94444444444444442</v>
      </c>
      <c r="P33" s="5">
        <f t="shared" si="2"/>
        <v>1.006964705882353</v>
      </c>
      <c r="Q33" s="5">
        <f t="shared" si="3"/>
        <v>0.96719319562575945</v>
      </c>
      <c r="R33" s="5">
        <f t="shared" si="4"/>
        <v>0.91982222222222221</v>
      </c>
    </row>
    <row r="34" spans="1:18" x14ac:dyDescent="0.25">
      <c r="A34" s="3">
        <v>30</v>
      </c>
      <c r="B34" s="4">
        <v>46205</v>
      </c>
      <c r="C34" s="3" t="s">
        <v>33</v>
      </c>
      <c r="D34" s="3" t="s">
        <v>23</v>
      </c>
      <c r="E34" s="3" t="s">
        <v>32</v>
      </c>
      <c r="F34" s="3">
        <v>534</v>
      </c>
      <c r="G34" s="3">
        <v>515</v>
      </c>
      <c r="H34" s="3">
        <v>19</v>
      </c>
      <c r="I34" s="5">
        <f t="shared" si="0"/>
        <v>3.5580524344569285E-2</v>
      </c>
      <c r="J34" s="6">
        <f t="shared" si="5"/>
        <v>35580.524344569283</v>
      </c>
      <c r="K34" s="7">
        <v>0.74</v>
      </c>
      <c r="L34" s="3">
        <v>387</v>
      </c>
      <c r="M34" s="3">
        <v>450</v>
      </c>
      <c r="N34" s="3">
        <v>63</v>
      </c>
      <c r="O34" s="5">
        <f t="shared" si="1"/>
        <v>0.86</v>
      </c>
      <c r="P34" s="5">
        <f t="shared" si="2"/>
        <v>1.0210852713178293</v>
      </c>
      <c r="Q34" s="5">
        <f t="shared" si="3"/>
        <v>0.96441947565543074</v>
      </c>
      <c r="R34" s="5">
        <f t="shared" si="4"/>
        <v>0.8468888888888888</v>
      </c>
    </row>
    <row r="35" spans="1:18" x14ac:dyDescent="0.25">
      <c r="A35" s="3">
        <v>31</v>
      </c>
      <c r="B35" s="4">
        <v>46206</v>
      </c>
      <c r="C35" s="3" t="s">
        <v>18</v>
      </c>
      <c r="D35" s="3" t="s">
        <v>19</v>
      </c>
      <c r="E35" s="3" t="s">
        <v>35</v>
      </c>
      <c r="F35" s="3">
        <v>242</v>
      </c>
      <c r="G35" s="3">
        <v>240</v>
      </c>
      <c r="H35" s="3">
        <v>2</v>
      </c>
      <c r="I35" s="5">
        <f t="shared" si="0"/>
        <v>8.2644628099173556E-3</v>
      </c>
      <c r="J35" s="6">
        <f t="shared" si="5"/>
        <v>8264.4628099173551</v>
      </c>
      <c r="K35" s="7">
        <v>1.39</v>
      </c>
      <c r="L35" s="3">
        <v>397</v>
      </c>
      <c r="M35" s="3">
        <v>450</v>
      </c>
      <c r="N35" s="3">
        <v>53</v>
      </c>
      <c r="O35" s="5">
        <f t="shared" si="1"/>
        <v>0.88222222222222224</v>
      </c>
      <c r="P35" s="5">
        <f t="shared" si="2"/>
        <v>0.84730478589420655</v>
      </c>
      <c r="Q35" s="5">
        <f t="shared" si="3"/>
        <v>0.99173553719008267</v>
      </c>
      <c r="R35" s="5">
        <f t="shared" si="4"/>
        <v>0.7413333333333334</v>
      </c>
    </row>
    <row r="36" spans="1:18" x14ac:dyDescent="0.25">
      <c r="A36" s="3">
        <v>32</v>
      </c>
      <c r="B36" s="4">
        <v>46206</v>
      </c>
      <c r="C36" s="3" t="s">
        <v>18</v>
      </c>
      <c r="D36" s="3" t="s">
        <v>21</v>
      </c>
      <c r="E36" s="3" t="s">
        <v>24</v>
      </c>
      <c r="F36" s="3">
        <v>225</v>
      </c>
      <c r="G36" s="3">
        <v>222</v>
      </c>
      <c r="H36" s="3">
        <v>3</v>
      </c>
      <c r="I36" s="5">
        <f t="shared" si="0"/>
        <v>1.3333333333333334E-2</v>
      </c>
      <c r="J36" s="6">
        <f t="shared" si="5"/>
        <v>13333.333333333334</v>
      </c>
      <c r="K36" s="7">
        <v>1.66</v>
      </c>
      <c r="L36" s="3">
        <v>418</v>
      </c>
      <c r="M36" s="3">
        <v>450</v>
      </c>
      <c r="N36" s="3">
        <v>32</v>
      </c>
      <c r="O36" s="5">
        <f t="shared" si="1"/>
        <v>0.92888888888888888</v>
      </c>
      <c r="P36" s="5">
        <f t="shared" si="2"/>
        <v>0.8935406698564593</v>
      </c>
      <c r="Q36" s="5">
        <f t="shared" si="3"/>
        <v>0.98666666666666669</v>
      </c>
      <c r="R36" s="5">
        <f t="shared" si="4"/>
        <v>0.81893333333333329</v>
      </c>
    </row>
    <row r="37" spans="1:18" x14ac:dyDescent="0.25">
      <c r="A37" s="3">
        <v>33</v>
      </c>
      <c r="B37" s="4">
        <v>46206</v>
      </c>
      <c r="C37" s="3" t="s">
        <v>18</v>
      </c>
      <c r="D37" s="3" t="s">
        <v>23</v>
      </c>
      <c r="E37" s="3" t="s">
        <v>27</v>
      </c>
      <c r="F37" s="3">
        <v>413</v>
      </c>
      <c r="G37" s="3">
        <v>397</v>
      </c>
      <c r="H37" s="3">
        <v>16</v>
      </c>
      <c r="I37" s="5">
        <f t="shared" si="0"/>
        <v>3.8740920096852302E-2</v>
      </c>
      <c r="J37" s="6">
        <f t="shared" si="5"/>
        <v>38740.9200968523</v>
      </c>
      <c r="K37" s="7">
        <v>0.79</v>
      </c>
      <c r="L37" s="3">
        <v>396</v>
      </c>
      <c r="M37" s="3">
        <v>450</v>
      </c>
      <c r="N37" s="3">
        <v>54</v>
      </c>
      <c r="O37" s="5">
        <f t="shared" si="1"/>
        <v>0.88</v>
      </c>
      <c r="P37" s="5">
        <f t="shared" si="2"/>
        <v>0.82391414141414154</v>
      </c>
      <c r="Q37" s="5">
        <f t="shared" si="3"/>
        <v>0.96125907990314774</v>
      </c>
      <c r="R37" s="5">
        <f t="shared" si="4"/>
        <v>0.69695555555555577</v>
      </c>
    </row>
    <row r="38" spans="1:18" x14ac:dyDescent="0.25">
      <c r="A38" s="3">
        <v>34</v>
      </c>
      <c r="B38" s="4">
        <v>46206</v>
      </c>
      <c r="C38" s="3" t="s">
        <v>25</v>
      </c>
      <c r="D38" s="3" t="s">
        <v>19</v>
      </c>
      <c r="E38" s="3" t="s">
        <v>26</v>
      </c>
      <c r="F38" s="3">
        <v>271</v>
      </c>
      <c r="G38" s="3">
        <v>265</v>
      </c>
      <c r="H38" s="3">
        <v>6</v>
      </c>
      <c r="I38" s="5">
        <f t="shared" si="0"/>
        <v>2.2140221402214021E-2</v>
      </c>
      <c r="J38" s="6">
        <f t="shared" si="5"/>
        <v>22140.221402214022</v>
      </c>
      <c r="K38" s="7">
        <v>1.45</v>
      </c>
      <c r="L38" s="3">
        <v>410</v>
      </c>
      <c r="M38" s="3">
        <v>450</v>
      </c>
      <c r="N38" s="3">
        <v>40</v>
      </c>
      <c r="O38" s="5">
        <f t="shared" si="1"/>
        <v>0.91111111111111109</v>
      </c>
      <c r="P38" s="5">
        <f t="shared" si="2"/>
        <v>0.95841463414634143</v>
      </c>
      <c r="Q38" s="5">
        <f t="shared" si="3"/>
        <v>0.97785977859778594</v>
      </c>
      <c r="R38" s="5">
        <f t="shared" si="4"/>
        <v>0.85388888888888881</v>
      </c>
    </row>
    <row r="39" spans="1:18" x14ac:dyDescent="0.25">
      <c r="A39" s="3">
        <v>35</v>
      </c>
      <c r="B39" s="4">
        <v>46206</v>
      </c>
      <c r="C39" s="3" t="s">
        <v>25</v>
      </c>
      <c r="D39" s="3" t="s">
        <v>21</v>
      </c>
      <c r="E39" s="3" t="s">
        <v>35</v>
      </c>
      <c r="F39" s="3">
        <v>326</v>
      </c>
      <c r="G39" s="3">
        <v>324</v>
      </c>
      <c r="H39" s="3">
        <v>2</v>
      </c>
      <c r="I39" s="5">
        <f t="shared" si="0"/>
        <v>6.1349693251533744E-3</v>
      </c>
      <c r="J39" s="6">
        <f t="shared" si="5"/>
        <v>6134.9693251533745</v>
      </c>
      <c r="K39" s="7">
        <v>1.26</v>
      </c>
      <c r="L39" s="3">
        <v>437</v>
      </c>
      <c r="M39" s="3">
        <v>450</v>
      </c>
      <c r="N39" s="3">
        <v>13</v>
      </c>
      <c r="O39" s="5">
        <f t="shared" si="1"/>
        <v>0.97111111111111115</v>
      </c>
      <c r="P39" s="5">
        <f t="shared" si="2"/>
        <v>0.93995423340961093</v>
      </c>
      <c r="Q39" s="5">
        <f t="shared" si="3"/>
        <v>0.99386503067484666</v>
      </c>
      <c r="R39" s="5">
        <f t="shared" si="4"/>
        <v>0.90720000000000001</v>
      </c>
    </row>
    <row r="40" spans="1:18" x14ac:dyDescent="0.25">
      <c r="A40" s="3">
        <v>36</v>
      </c>
      <c r="B40" s="4">
        <v>46206</v>
      </c>
      <c r="C40" s="3" t="s">
        <v>25</v>
      </c>
      <c r="D40" s="3" t="s">
        <v>23</v>
      </c>
      <c r="E40" s="3" t="s">
        <v>20</v>
      </c>
      <c r="F40" s="3">
        <v>341</v>
      </c>
      <c r="G40" s="3">
        <v>333</v>
      </c>
      <c r="H40" s="3">
        <v>8</v>
      </c>
      <c r="I40" s="5">
        <f t="shared" si="0"/>
        <v>2.3460410557184751E-2</v>
      </c>
      <c r="J40" s="6">
        <f t="shared" si="5"/>
        <v>23460.41055718475</v>
      </c>
      <c r="K40" s="7">
        <v>0.95</v>
      </c>
      <c r="L40" s="3">
        <v>410</v>
      </c>
      <c r="M40" s="3">
        <v>450</v>
      </c>
      <c r="N40" s="3">
        <v>40</v>
      </c>
      <c r="O40" s="5">
        <f t="shared" si="1"/>
        <v>0.91111111111111109</v>
      </c>
      <c r="P40" s="5">
        <f t="shared" si="2"/>
        <v>0.79012195121951212</v>
      </c>
      <c r="Q40" s="5">
        <f t="shared" si="3"/>
        <v>0.97653958944281527</v>
      </c>
      <c r="R40" s="5">
        <f t="shared" si="4"/>
        <v>0.70299999999999996</v>
      </c>
    </row>
    <row r="41" spans="1:18" x14ac:dyDescent="0.25">
      <c r="A41" s="3">
        <v>37</v>
      </c>
      <c r="B41" s="4">
        <v>46206</v>
      </c>
      <c r="C41" s="3" t="s">
        <v>28</v>
      </c>
      <c r="D41" s="3" t="s">
        <v>19</v>
      </c>
      <c r="E41" s="3" t="s">
        <v>20</v>
      </c>
      <c r="F41" s="3">
        <v>393</v>
      </c>
      <c r="G41" s="3">
        <v>382</v>
      </c>
      <c r="H41" s="3">
        <v>11</v>
      </c>
      <c r="I41" s="5">
        <f t="shared" si="0"/>
        <v>2.7989821882951654E-2</v>
      </c>
      <c r="J41" s="6">
        <f t="shared" si="5"/>
        <v>27989.821882951655</v>
      </c>
      <c r="K41" s="7">
        <v>0.83</v>
      </c>
      <c r="L41" s="3">
        <v>405</v>
      </c>
      <c r="M41" s="3">
        <v>450</v>
      </c>
      <c r="N41" s="3">
        <v>45</v>
      </c>
      <c r="O41" s="5">
        <f t="shared" si="1"/>
        <v>0.9</v>
      </c>
      <c r="P41" s="5">
        <f t="shared" si="2"/>
        <v>0.80540740740740735</v>
      </c>
      <c r="Q41" s="5">
        <f t="shared" si="3"/>
        <v>0.97201017811704837</v>
      </c>
      <c r="R41" s="5">
        <f t="shared" si="4"/>
        <v>0.70457777777777775</v>
      </c>
    </row>
    <row r="42" spans="1:18" x14ac:dyDescent="0.25">
      <c r="A42" s="3">
        <v>38</v>
      </c>
      <c r="B42" s="4">
        <v>46206</v>
      </c>
      <c r="C42" s="3" t="s">
        <v>28</v>
      </c>
      <c r="D42" s="3" t="s">
        <v>21</v>
      </c>
      <c r="E42" s="3" t="s">
        <v>32</v>
      </c>
      <c r="F42" s="3">
        <v>736</v>
      </c>
      <c r="G42" s="3">
        <v>716</v>
      </c>
      <c r="H42" s="3">
        <v>20</v>
      </c>
      <c r="I42" s="5">
        <f t="shared" si="0"/>
        <v>2.717391304347826E-2</v>
      </c>
      <c r="J42" s="6">
        <f t="shared" si="5"/>
        <v>27173.91304347826</v>
      </c>
      <c r="K42" s="7">
        <v>0.6</v>
      </c>
      <c r="L42" s="3">
        <v>437</v>
      </c>
      <c r="M42" s="3">
        <v>450</v>
      </c>
      <c r="N42" s="3">
        <v>13</v>
      </c>
      <c r="O42" s="5">
        <f t="shared" si="1"/>
        <v>0.97111111111111115</v>
      </c>
      <c r="P42" s="5">
        <f t="shared" si="2"/>
        <v>1.0105263157894737</v>
      </c>
      <c r="Q42" s="5">
        <f t="shared" si="3"/>
        <v>0.97282608695652173</v>
      </c>
      <c r="R42" s="5">
        <f t="shared" si="4"/>
        <v>0.95466666666666666</v>
      </c>
    </row>
    <row r="43" spans="1:18" x14ac:dyDescent="0.25">
      <c r="A43" s="3">
        <v>39</v>
      </c>
      <c r="B43" s="4">
        <v>46206</v>
      </c>
      <c r="C43" s="3" t="s">
        <v>28</v>
      </c>
      <c r="D43" s="3" t="s">
        <v>23</v>
      </c>
      <c r="E43" s="3" t="s">
        <v>20</v>
      </c>
      <c r="F43" s="3">
        <v>377</v>
      </c>
      <c r="G43" s="3">
        <v>361</v>
      </c>
      <c r="H43" s="3">
        <v>16</v>
      </c>
      <c r="I43" s="5">
        <f t="shared" si="0"/>
        <v>4.2440318302387266E-2</v>
      </c>
      <c r="J43" s="6">
        <f t="shared" si="5"/>
        <v>42440.318302387263</v>
      </c>
      <c r="K43" s="7">
        <v>0.85</v>
      </c>
      <c r="L43" s="3">
        <v>408</v>
      </c>
      <c r="M43" s="3">
        <v>450</v>
      </c>
      <c r="N43" s="3">
        <v>42</v>
      </c>
      <c r="O43" s="5">
        <f t="shared" si="1"/>
        <v>0.90666666666666662</v>
      </c>
      <c r="P43" s="5">
        <f t="shared" si="2"/>
        <v>0.78541666666666665</v>
      </c>
      <c r="Q43" s="5">
        <f t="shared" si="3"/>
        <v>0.95755968169761274</v>
      </c>
      <c r="R43" s="5">
        <f t="shared" si="4"/>
        <v>0.68188888888888877</v>
      </c>
    </row>
    <row r="44" spans="1:18" x14ac:dyDescent="0.25">
      <c r="A44" s="3">
        <v>40</v>
      </c>
      <c r="B44" s="4">
        <v>46206</v>
      </c>
      <c r="C44" s="3" t="s">
        <v>30</v>
      </c>
      <c r="D44" s="3" t="s">
        <v>19</v>
      </c>
      <c r="E44" s="3" t="s">
        <v>35</v>
      </c>
      <c r="F44" s="3">
        <v>380</v>
      </c>
      <c r="G44" s="3">
        <v>378</v>
      </c>
      <c r="H44" s="3">
        <v>2</v>
      </c>
      <c r="I44" s="5">
        <f t="shared" si="0"/>
        <v>5.263157894736842E-3</v>
      </c>
      <c r="J44" s="6">
        <f t="shared" si="5"/>
        <v>5263.1578947368416</v>
      </c>
      <c r="K44" s="7">
        <v>1.05</v>
      </c>
      <c r="L44" s="3">
        <v>409</v>
      </c>
      <c r="M44" s="3">
        <v>450</v>
      </c>
      <c r="N44" s="3">
        <v>41</v>
      </c>
      <c r="O44" s="5">
        <f t="shared" si="1"/>
        <v>0.90888888888888886</v>
      </c>
      <c r="P44" s="5">
        <f t="shared" si="2"/>
        <v>0.97555012224938875</v>
      </c>
      <c r="Q44" s="5">
        <f t="shared" si="3"/>
        <v>0.99473684210526314</v>
      </c>
      <c r="R44" s="5">
        <f t="shared" si="4"/>
        <v>0.8819999999999999</v>
      </c>
    </row>
    <row r="45" spans="1:18" x14ac:dyDescent="0.25">
      <c r="A45" s="3">
        <v>41</v>
      </c>
      <c r="B45" s="4">
        <v>46206</v>
      </c>
      <c r="C45" s="3" t="s">
        <v>30</v>
      </c>
      <c r="D45" s="3" t="s">
        <v>21</v>
      </c>
      <c r="E45" s="3" t="s">
        <v>35</v>
      </c>
      <c r="F45" s="3">
        <v>387</v>
      </c>
      <c r="G45" s="3">
        <v>377</v>
      </c>
      <c r="H45" s="3">
        <v>10</v>
      </c>
      <c r="I45" s="5">
        <f t="shared" si="0"/>
        <v>2.5839793281653745E-2</v>
      </c>
      <c r="J45" s="6">
        <f t="shared" si="5"/>
        <v>25839.793281653747</v>
      </c>
      <c r="K45" s="7">
        <v>1.06</v>
      </c>
      <c r="L45" s="3">
        <v>405</v>
      </c>
      <c r="M45" s="3">
        <v>450</v>
      </c>
      <c r="N45" s="3">
        <v>45</v>
      </c>
      <c r="O45" s="5">
        <f t="shared" si="1"/>
        <v>0.9</v>
      </c>
      <c r="P45" s="5">
        <f t="shared" si="2"/>
        <v>1.0128888888888889</v>
      </c>
      <c r="Q45" s="5">
        <f t="shared" si="3"/>
        <v>0.97416020671834624</v>
      </c>
      <c r="R45" s="5">
        <f t="shared" si="4"/>
        <v>0.88804444444444453</v>
      </c>
    </row>
    <row r="46" spans="1:18" x14ac:dyDescent="0.25">
      <c r="A46" s="3">
        <v>42</v>
      </c>
      <c r="B46" s="4">
        <v>46206</v>
      </c>
      <c r="C46" s="3" t="s">
        <v>30</v>
      </c>
      <c r="D46" s="3" t="s">
        <v>23</v>
      </c>
      <c r="E46" s="3" t="s">
        <v>31</v>
      </c>
      <c r="F46" s="3">
        <v>338</v>
      </c>
      <c r="G46" s="3">
        <v>332</v>
      </c>
      <c r="H46" s="3">
        <v>6</v>
      </c>
      <c r="I46" s="5">
        <f t="shared" si="0"/>
        <v>1.7751479289940829E-2</v>
      </c>
      <c r="J46" s="6">
        <f t="shared" si="5"/>
        <v>17751.479289940828</v>
      </c>
      <c r="K46" s="7">
        <v>1.04</v>
      </c>
      <c r="L46" s="3">
        <v>416</v>
      </c>
      <c r="M46" s="3">
        <v>450</v>
      </c>
      <c r="N46" s="3">
        <v>34</v>
      </c>
      <c r="O46" s="5">
        <f t="shared" si="1"/>
        <v>0.9244444444444444</v>
      </c>
      <c r="P46" s="5">
        <f t="shared" si="2"/>
        <v>0.84500000000000008</v>
      </c>
      <c r="Q46" s="5">
        <f t="shared" si="3"/>
        <v>0.98224852071005919</v>
      </c>
      <c r="R46" s="5">
        <f t="shared" si="4"/>
        <v>0.76728888888888891</v>
      </c>
    </row>
    <row r="47" spans="1:18" x14ac:dyDescent="0.25">
      <c r="A47" s="3">
        <v>43</v>
      </c>
      <c r="B47" s="4">
        <v>46206</v>
      </c>
      <c r="C47" s="3" t="s">
        <v>33</v>
      </c>
      <c r="D47" s="3" t="s">
        <v>19</v>
      </c>
      <c r="E47" s="3" t="s">
        <v>24</v>
      </c>
      <c r="F47" s="3">
        <v>281</v>
      </c>
      <c r="G47" s="3">
        <v>270</v>
      </c>
      <c r="H47" s="3">
        <v>11</v>
      </c>
      <c r="I47" s="5">
        <f t="shared" si="0"/>
        <v>3.9145907473309607E-2</v>
      </c>
      <c r="J47" s="6">
        <f t="shared" si="5"/>
        <v>39145.907473309606</v>
      </c>
      <c r="K47" s="7">
        <v>1.1000000000000001</v>
      </c>
      <c r="L47" s="3">
        <v>394</v>
      </c>
      <c r="M47" s="3">
        <v>450</v>
      </c>
      <c r="N47" s="3">
        <v>56</v>
      </c>
      <c r="O47" s="5">
        <f t="shared" si="1"/>
        <v>0.87555555555555553</v>
      </c>
      <c r="P47" s="5">
        <f t="shared" si="2"/>
        <v>0.78451776649746197</v>
      </c>
      <c r="Q47" s="5">
        <f t="shared" si="3"/>
        <v>0.96085409252669041</v>
      </c>
      <c r="R47" s="5">
        <f t="shared" si="4"/>
        <v>0.66</v>
      </c>
    </row>
    <row r="48" spans="1:18" x14ac:dyDescent="0.25">
      <c r="A48" s="3">
        <v>44</v>
      </c>
      <c r="B48" s="4">
        <v>46206</v>
      </c>
      <c r="C48" s="3" t="s">
        <v>33</v>
      </c>
      <c r="D48" s="3" t="s">
        <v>21</v>
      </c>
      <c r="E48" s="3" t="s">
        <v>22</v>
      </c>
      <c r="F48" s="3">
        <v>206</v>
      </c>
      <c r="G48" s="3">
        <v>201</v>
      </c>
      <c r="H48" s="3">
        <v>5</v>
      </c>
      <c r="I48" s="5">
        <f t="shared" si="0"/>
        <v>2.4271844660194174E-2</v>
      </c>
      <c r="J48" s="6">
        <f t="shared" si="5"/>
        <v>24271.844660194176</v>
      </c>
      <c r="K48" s="7">
        <v>1.65</v>
      </c>
      <c r="L48" s="3">
        <v>419</v>
      </c>
      <c r="M48" s="3">
        <v>450</v>
      </c>
      <c r="N48" s="3">
        <v>31</v>
      </c>
      <c r="O48" s="5">
        <f t="shared" si="1"/>
        <v>0.93111111111111111</v>
      </c>
      <c r="P48" s="5">
        <f t="shared" si="2"/>
        <v>0.81121718377088303</v>
      </c>
      <c r="Q48" s="5">
        <f t="shared" si="3"/>
        <v>0.97572815533980584</v>
      </c>
      <c r="R48" s="5">
        <f t="shared" si="4"/>
        <v>0.73699999999999999</v>
      </c>
    </row>
    <row r="49" spans="1:18" x14ac:dyDescent="0.25">
      <c r="A49" s="3">
        <v>45</v>
      </c>
      <c r="B49" s="4">
        <v>46206</v>
      </c>
      <c r="C49" s="3" t="s">
        <v>33</v>
      </c>
      <c r="D49" s="3" t="s">
        <v>23</v>
      </c>
      <c r="E49" s="3" t="s">
        <v>34</v>
      </c>
      <c r="F49" s="3">
        <v>675</v>
      </c>
      <c r="G49" s="3">
        <v>654</v>
      </c>
      <c r="H49" s="3">
        <v>21</v>
      </c>
      <c r="I49" s="5">
        <f t="shared" si="0"/>
        <v>3.111111111111111E-2</v>
      </c>
      <c r="J49" s="6">
        <f t="shared" si="5"/>
        <v>31111.111111111109</v>
      </c>
      <c r="K49" s="7">
        <v>0.51</v>
      </c>
      <c r="L49" s="3">
        <v>405</v>
      </c>
      <c r="M49" s="3">
        <v>450</v>
      </c>
      <c r="N49" s="3">
        <v>45</v>
      </c>
      <c r="O49" s="5">
        <f t="shared" si="1"/>
        <v>0.9</v>
      </c>
      <c r="P49" s="5">
        <f t="shared" si="2"/>
        <v>0.85</v>
      </c>
      <c r="Q49" s="5">
        <f t="shared" si="3"/>
        <v>0.96888888888888891</v>
      </c>
      <c r="R49" s="5">
        <f t="shared" si="4"/>
        <v>0.74120000000000008</v>
      </c>
    </row>
    <row r="50" spans="1:18" x14ac:dyDescent="0.25">
      <c r="A50" s="3">
        <v>46</v>
      </c>
      <c r="B50" s="4">
        <v>46207</v>
      </c>
      <c r="C50" s="3" t="s">
        <v>18</v>
      </c>
      <c r="D50" s="3" t="s">
        <v>19</v>
      </c>
      <c r="E50" s="3" t="s">
        <v>29</v>
      </c>
      <c r="F50" s="3">
        <v>280</v>
      </c>
      <c r="G50" s="3">
        <v>278</v>
      </c>
      <c r="H50" s="3">
        <v>2</v>
      </c>
      <c r="I50" s="5">
        <f t="shared" si="0"/>
        <v>7.1428571428571426E-3</v>
      </c>
      <c r="J50" s="6">
        <f t="shared" si="5"/>
        <v>7142.8571428571422</v>
      </c>
      <c r="K50" s="7">
        <v>1.4</v>
      </c>
      <c r="L50" s="3">
        <v>404</v>
      </c>
      <c r="M50" s="3">
        <v>450</v>
      </c>
      <c r="N50" s="3">
        <v>46</v>
      </c>
      <c r="O50" s="5">
        <f t="shared" si="1"/>
        <v>0.89777777777777779</v>
      </c>
      <c r="P50" s="5">
        <f t="shared" si="2"/>
        <v>0.97029702970297027</v>
      </c>
      <c r="Q50" s="5">
        <f t="shared" si="3"/>
        <v>0.99285714285714288</v>
      </c>
      <c r="R50" s="5">
        <f t="shared" si="4"/>
        <v>0.86488888888888882</v>
      </c>
    </row>
    <row r="51" spans="1:18" x14ac:dyDescent="0.25">
      <c r="A51" s="3">
        <v>47</v>
      </c>
      <c r="B51" s="4">
        <v>46207</v>
      </c>
      <c r="C51" s="3" t="s">
        <v>18</v>
      </c>
      <c r="D51" s="3" t="s">
        <v>21</v>
      </c>
      <c r="E51" s="3" t="s">
        <v>20</v>
      </c>
      <c r="F51" s="3">
        <v>181</v>
      </c>
      <c r="G51" s="3">
        <v>176</v>
      </c>
      <c r="H51" s="3">
        <v>5</v>
      </c>
      <c r="I51" s="5">
        <f t="shared" si="0"/>
        <v>2.7624309392265192E-2</v>
      </c>
      <c r="J51" s="6">
        <f t="shared" si="5"/>
        <v>27624.309392265193</v>
      </c>
      <c r="K51" s="7">
        <v>1.68</v>
      </c>
      <c r="L51" s="3">
        <v>386</v>
      </c>
      <c r="M51" s="3">
        <v>450</v>
      </c>
      <c r="N51" s="3">
        <v>64</v>
      </c>
      <c r="O51" s="5">
        <f t="shared" si="1"/>
        <v>0.85777777777777775</v>
      </c>
      <c r="P51" s="5">
        <f t="shared" si="2"/>
        <v>0.78777202072538854</v>
      </c>
      <c r="Q51" s="5">
        <f t="shared" si="3"/>
        <v>0.97237569060773477</v>
      </c>
      <c r="R51" s="5">
        <f t="shared" si="4"/>
        <v>0.65706666666666658</v>
      </c>
    </row>
    <row r="52" spans="1:18" x14ac:dyDescent="0.25">
      <c r="A52" s="3">
        <v>48</v>
      </c>
      <c r="B52" s="4">
        <v>46207</v>
      </c>
      <c r="C52" s="3" t="s">
        <v>18</v>
      </c>
      <c r="D52" s="3" t="s">
        <v>23</v>
      </c>
      <c r="E52" s="3" t="s">
        <v>32</v>
      </c>
      <c r="F52" s="3">
        <v>478</v>
      </c>
      <c r="G52" s="3">
        <v>460</v>
      </c>
      <c r="H52" s="3">
        <v>18</v>
      </c>
      <c r="I52" s="5">
        <f t="shared" si="0"/>
        <v>3.7656903765690378E-2</v>
      </c>
      <c r="J52" s="6">
        <f t="shared" si="5"/>
        <v>37656.903765690375</v>
      </c>
      <c r="K52" s="7">
        <v>0.89</v>
      </c>
      <c r="L52" s="3">
        <v>431</v>
      </c>
      <c r="M52" s="3">
        <v>450</v>
      </c>
      <c r="N52" s="3">
        <v>19</v>
      </c>
      <c r="O52" s="5">
        <f t="shared" si="1"/>
        <v>0.95777777777777773</v>
      </c>
      <c r="P52" s="5">
        <f t="shared" si="2"/>
        <v>0.98705336426914159</v>
      </c>
      <c r="Q52" s="5">
        <f t="shared" si="3"/>
        <v>0.96234309623430958</v>
      </c>
      <c r="R52" s="5">
        <f t="shared" si="4"/>
        <v>0.90977777777777769</v>
      </c>
    </row>
    <row r="53" spans="1:18" x14ac:dyDescent="0.25">
      <c r="A53" s="3">
        <v>49</v>
      </c>
      <c r="B53" s="4">
        <v>46207</v>
      </c>
      <c r="C53" s="3" t="s">
        <v>25</v>
      </c>
      <c r="D53" s="3" t="s">
        <v>19</v>
      </c>
      <c r="E53" s="3" t="s">
        <v>20</v>
      </c>
      <c r="F53" s="3">
        <v>455</v>
      </c>
      <c r="G53" s="3">
        <v>444</v>
      </c>
      <c r="H53" s="3">
        <v>11</v>
      </c>
      <c r="I53" s="5">
        <f t="shared" si="0"/>
        <v>2.4175824175824177E-2</v>
      </c>
      <c r="J53" s="6">
        <f t="shared" si="5"/>
        <v>24175.824175824178</v>
      </c>
      <c r="K53" s="7">
        <v>0.81</v>
      </c>
      <c r="L53" s="3">
        <v>433</v>
      </c>
      <c r="M53" s="3">
        <v>450</v>
      </c>
      <c r="N53" s="3">
        <v>17</v>
      </c>
      <c r="O53" s="5">
        <f t="shared" si="1"/>
        <v>0.9622222222222222</v>
      </c>
      <c r="P53" s="5">
        <f t="shared" si="2"/>
        <v>0.85115473441108547</v>
      </c>
      <c r="Q53" s="5">
        <f t="shared" si="3"/>
        <v>0.9758241758241758</v>
      </c>
      <c r="R53" s="5">
        <f t="shared" si="4"/>
        <v>0.79919999999999991</v>
      </c>
    </row>
    <row r="54" spans="1:18" x14ac:dyDescent="0.25">
      <c r="A54" s="3">
        <v>50</v>
      </c>
      <c r="B54" s="4">
        <v>46207</v>
      </c>
      <c r="C54" s="3" t="s">
        <v>25</v>
      </c>
      <c r="D54" s="3" t="s">
        <v>21</v>
      </c>
      <c r="E54" s="3" t="s">
        <v>29</v>
      </c>
      <c r="F54" s="3">
        <v>545</v>
      </c>
      <c r="G54" s="3">
        <v>540</v>
      </c>
      <c r="H54" s="3">
        <v>5</v>
      </c>
      <c r="I54" s="5">
        <f t="shared" si="0"/>
        <v>9.1743119266055051E-3</v>
      </c>
      <c r="J54" s="6">
        <f t="shared" si="5"/>
        <v>9174.3119266055055</v>
      </c>
      <c r="K54" s="7">
        <v>0.72</v>
      </c>
      <c r="L54" s="3">
        <v>387</v>
      </c>
      <c r="M54" s="3">
        <v>450</v>
      </c>
      <c r="N54" s="3">
        <v>63</v>
      </c>
      <c r="O54" s="5">
        <f t="shared" si="1"/>
        <v>0.86</v>
      </c>
      <c r="P54" s="5">
        <f t="shared" si="2"/>
        <v>1.0139534883720929</v>
      </c>
      <c r="Q54" s="5">
        <f t="shared" si="3"/>
        <v>0.99082568807339455</v>
      </c>
      <c r="R54" s="5">
        <f t="shared" si="4"/>
        <v>0.86399999999999999</v>
      </c>
    </row>
    <row r="55" spans="1:18" x14ac:dyDescent="0.25">
      <c r="A55" s="3">
        <v>51</v>
      </c>
      <c r="B55" s="4">
        <v>46207</v>
      </c>
      <c r="C55" s="3" t="s">
        <v>25</v>
      </c>
      <c r="D55" s="3" t="s">
        <v>23</v>
      </c>
      <c r="E55" s="3" t="s">
        <v>24</v>
      </c>
      <c r="F55" s="3">
        <v>1045</v>
      </c>
      <c r="G55" s="3">
        <v>1003</v>
      </c>
      <c r="H55" s="3">
        <v>42</v>
      </c>
      <c r="I55" s="5">
        <f t="shared" si="0"/>
        <v>4.0191387559808611E-2</v>
      </c>
      <c r="J55" s="6">
        <f t="shared" si="5"/>
        <v>40191.387559808609</v>
      </c>
      <c r="K55" s="7">
        <v>0.42</v>
      </c>
      <c r="L55" s="3">
        <v>427</v>
      </c>
      <c r="M55" s="3">
        <v>450</v>
      </c>
      <c r="N55" s="3">
        <v>23</v>
      </c>
      <c r="O55" s="5">
        <f t="shared" si="1"/>
        <v>0.94888888888888889</v>
      </c>
      <c r="P55" s="5">
        <f t="shared" si="2"/>
        <v>1.0278688524590163</v>
      </c>
      <c r="Q55" s="5">
        <f t="shared" si="3"/>
        <v>0.95980861244019133</v>
      </c>
      <c r="R55" s="5">
        <f t="shared" si="4"/>
        <v>0.93613333333333326</v>
      </c>
    </row>
    <row r="56" spans="1:18" x14ac:dyDescent="0.25">
      <c r="A56" s="3">
        <v>52</v>
      </c>
      <c r="B56" s="4">
        <v>46207</v>
      </c>
      <c r="C56" s="3" t="s">
        <v>28</v>
      </c>
      <c r="D56" s="3" t="s">
        <v>19</v>
      </c>
      <c r="E56" s="3" t="s">
        <v>31</v>
      </c>
      <c r="F56" s="3">
        <v>291</v>
      </c>
      <c r="G56" s="3">
        <v>279</v>
      </c>
      <c r="H56" s="3">
        <v>12</v>
      </c>
      <c r="I56" s="5">
        <f t="shared" si="0"/>
        <v>4.1237113402061855E-2</v>
      </c>
      <c r="J56" s="6">
        <f t="shared" si="5"/>
        <v>41237.113402061856</v>
      </c>
      <c r="K56" s="7">
        <v>1.44</v>
      </c>
      <c r="L56" s="3">
        <v>419</v>
      </c>
      <c r="M56" s="3">
        <v>450</v>
      </c>
      <c r="N56" s="3">
        <v>31</v>
      </c>
      <c r="O56" s="5">
        <f t="shared" si="1"/>
        <v>0.93111111111111111</v>
      </c>
      <c r="P56" s="5">
        <f t="shared" si="2"/>
        <v>1.0000954653937946</v>
      </c>
      <c r="Q56" s="5">
        <f t="shared" si="3"/>
        <v>0.95876288659793818</v>
      </c>
      <c r="R56" s="5">
        <f t="shared" si="4"/>
        <v>0.89279999999999982</v>
      </c>
    </row>
    <row r="57" spans="1:18" x14ac:dyDescent="0.25">
      <c r="A57" s="3">
        <v>53</v>
      </c>
      <c r="B57" s="4">
        <v>46207</v>
      </c>
      <c r="C57" s="3" t="s">
        <v>28</v>
      </c>
      <c r="D57" s="3" t="s">
        <v>21</v>
      </c>
      <c r="E57" s="3" t="s">
        <v>35</v>
      </c>
      <c r="F57" s="3">
        <v>368</v>
      </c>
      <c r="G57" s="3">
        <v>357</v>
      </c>
      <c r="H57" s="3">
        <v>11</v>
      </c>
      <c r="I57" s="5">
        <f t="shared" si="0"/>
        <v>2.9891304347826088E-2</v>
      </c>
      <c r="J57" s="6">
        <f t="shared" si="5"/>
        <v>29891.304347826088</v>
      </c>
      <c r="K57" s="7">
        <v>1.1000000000000001</v>
      </c>
      <c r="L57" s="3">
        <v>417</v>
      </c>
      <c r="M57" s="3">
        <v>450</v>
      </c>
      <c r="N57" s="3">
        <v>33</v>
      </c>
      <c r="O57" s="5">
        <f t="shared" si="1"/>
        <v>0.92666666666666664</v>
      </c>
      <c r="P57" s="5">
        <f t="shared" si="2"/>
        <v>0.9707434052757794</v>
      </c>
      <c r="Q57" s="5">
        <f t="shared" si="3"/>
        <v>0.97010869565217395</v>
      </c>
      <c r="R57" s="5">
        <f t="shared" si="4"/>
        <v>0.8726666666666667</v>
      </c>
    </row>
    <row r="58" spans="1:18" x14ac:dyDescent="0.25">
      <c r="A58" s="3">
        <v>54</v>
      </c>
      <c r="B58" s="4">
        <v>46207</v>
      </c>
      <c r="C58" s="3" t="s">
        <v>28</v>
      </c>
      <c r="D58" s="3" t="s">
        <v>23</v>
      </c>
      <c r="E58" s="3" t="s">
        <v>31</v>
      </c>
      <c r="F58" s="3">
        <v>384</v>
      </c>
      <c r="G58" s="3">
        <v>371</v>
      </c>
      <c r="H58" s="3">
        <v>13</v>
      </c>
      <c r="I58" s="5">
        <f t="shared" si="0"/>
        <v>3.3854166666666664E-2</v>
      </c>
      <c r="J58" s="6">
        <f t="shared" si="5"/>
        <v>33854.166666666664</v>
      </c>
      <c r="K58" s="7">
        <v>0.89</v>
      </c>
      <c r="L58" s="3">
        <v>426</v>
      </c>
      <c r="M58" s="3">
        <v>450</v>
      </c>
      <c r="N58" s="3">
        <v>24</v>
      </c>
      <c r="O58" s="5">
        <f t="shared" si="1"/>
        <v>0.94666666666666666</v>
      </c>
      <c r="P58" s="5">
        <f t="shared" si="2"/>
        <v>0.80225352112676052</v>
      </c>
      <c r="Q58" s="5">
        <f t="shared" si="3"/>
        <v>0.96614583333333337</v>
      </c>
      <c r="R58" s="5">
        <f t="shared" si="4"/>
        <v>0.73375555555555549</v>
      </c>
    </row>
    <row r="59" spans="1:18" x14ac:dyDescent="0.25">
      <c r="A59" s="3">
        <v>55</v>
      </c>
      <c r="B59" s="4">
        <v>46207</v>
      </c>
      <c r="C59" s="3" t="s">
        <v>30</v>
      </c>
      <c r="D59" s="3" t="s">
        <v>19</v>
      </c>
      <c r="E59" s="3" t="s">
        <v>26</v>
      </c>
      <c r="F59" s="3">
        <v>512</v>
      </c>
      <c r="G59" s="3">
        <v>508</v>
      </c>
      <c r="H59" s="3">
        <v>4</v>
      </c>
      <c r="I59" s="5">
        <f t="shared" si="0"/>
        <v>7.8125E-3</v>
      </c>
      <c r="J59" s="6">
        <f t="shared" si="5"/>
        <v>7812.5</v>
      </c>
      <c r="K59" s="7">
        <v>0.73</v>
      </c>
      <c r="L59" s="3">
        <v>445</v>
      </c>
      <c r="M59" s="3">
        <v>450</v>
      </c>
      <c r="N59" s="3">
        <v>5</v>
      </c>
      <c r="O59" s="5">
        <f t="shared" si="1"/>
        <v>0.98888888888888893</v>
      </c>
      <c r="P59" s="5">
        <f t="shared" si="2"/>
        <v>0.83991011235955049</v>
      </c>
      <c r="Q59" s="5">
        <f t="shared" si="3"/>
        <v>0.9921875</v>
      </c>
      <c r="R59" s="5">
        <f t="shared" si="4"/>
        <v>0.82408888888888887</v>
      </c>
    </row>
    <row r="60" spans="1:18" x14ac:dyDescent="0.25">
      <c r="A60" s="3">
        <v>56</v>
      </c>
      <c r="B60" s="4">
        <v>46207</v>
      </c>
      <c r="C60" s="3" t="s">
        <v>30</v>
      </c>
      <c r="D60" s="3" t="s">
        <v>21</v>
      </c>
      <c r="E60" s="3" t="s">
        <v>20</v>
      </c>
      <c r="F60" s="3">
        <v>203</v>
      </c>
      <c r="G60" s="3">
        <v>201</v>
      </c>
      <c r="H60" s="3">
        <v>2</v>
      </c>
      <c r="I60" s="5">
        <f t="shared" si="0"/>
        <v>9.852216748768473E-3</v>
      </c>
      <c r="J60" s="6">
        <f t="shared" si="5"/>
        <v>9852.2167487684728</v>
      </c>
      <c r="K60" s="7">
        <v>1.56</v>
      </c>
      <c r="L60" s="3">
        <v>388</v>
      </c>
      <c r="M60" s="3">
        <v>450</v>
      </c>
      <c r="N60" s="3">
        <v>62</v>
      </c>
      <c r="O60" s="5">
        <f t="shared" si="1"/>
        <v>0.86222222222222222</v>
      </c>
      <c r="P60" s="5">
        <f t="shared" si="2"/>
        <v>0.81618556701030931</v>
      </c>
      <c r="Q60" s="5">
        <f t="shared" si="3"/>
        <v>0.99014778325123154</v>
      </c>
      <c r="R60" s="5">
        <f t="shared" si="4"/>
        <v>0.69679999999999997</v>
      </c>
    </row>
    <row r="61" spans="1:18" x14ac:dyDescent="0.25">
      <c r="A61" s="3">
        <v>57</v>
      </c>
      <c r="B61" s="4">
        <v>46207</v>
      </c>
      <c r="C61" s="3" t="s">
        <v>30</v>
      </c>
      <c r="D61" s="3" t="s">
        <v>23</v>
      </c>
      <c r="E61" s="3" t="s">
        <v>22</v>
      </c>
      <c r="F61" s="3">
        <v>273</v>
      </c>
      <c r="G61" s="3">
        <v>269</v>
      </c>
      <c r="H61" s="3">
        <v>4</v>
      </c>
      <c r="I61" s="5">
        <f t="shared" si="0"/>
        <v>1.4652014652014652E-2</v>
      </c>
      <c r="J61" s="6">
        <f t="shared" si="5"/>
        <v>14652.014652014652</v>
      </c>
      <c r="K61" s="7">
        <v>1.22</v>
      </c>
      <c r="L61" s="3">
        <v>402</v>
      </c>
      <c r="M61" s="3">
        <v>450</v>
      </c>
      <c r="N61" s="3">
        <v>48</v>
      </c>
      <c r="O61" s="5">
        <f t="shared" si="1"/>
        <v>0.89333333333333331</v>
      </c>
      <c r="P61" s="5">
        <f t="shared" si="2"/>
        <v>0.82850746268656716</v>
      </c>
      <c r="Q61" s="5">
        <f t="shared" si="3"/>
        <v>0.9853479853479854</v>
      </c>
      <c r="R61" s="5">
        <f t="shared" si="4"/>
        <v>0.72928888888888888</v>
      </c>
    </row>
    <row r="62" spans="1:18" x14ac:dyDescent="0.25">
      <c r="A62" s="3">
        <v>58</v>
      </c>
      <c r="B62" s="4">
        <v>46207</v>
      </c>
      <c r="C62" s="3" t="s">
        <v>33</v>
      </c>
      <c r="D62" s="3" t="s">
        <v>19</v>
      </c>
      <c r="E62" s="3" t="s">
        <v>26</v>
      </c>
      <c r="F62" s="3">
        <v>270</v>
      </c>
      <c r="G62" s="3">
        <v>264</v>
      </c>
      <c r="H62" s="3">
        <v>6</v>
      </c>
      <c r="I62" s="5">
        <f t="shared" si="0"/>
        <v>2.2222222222222223E-2</v>
      </c>
      <c r="J62" s="6">
        <f t="shared" si="5"/>
        <v>22222.222222222223</v>
      </c>
      <c r="K62" s="7">
        <v>1.48</v>
      </c>
      <c r="L62" s="3">
        <v>392</v>
      </c>
      <c r="M62" s="3">
        <v>450</v>
      </c>
      <c r="N62" s="3">
        <v>58</v>
      </c>
      <c r="O62" s="5">
        <f t="shared" si="1"/>
        <v>0.87111111111111106</v>
      </c>
      <c r="P62" s="5">
        <f t="shared" si="2"/>
        <v>1.0193877551020409</v>
      </c>
      <c r="Q62" s="5">
        <f t="shared" si="3"/>
        <v>0.97777777777777775</v>
      </c>
      <c r="R62" s="5">
        <f t="shared" si="4"/>
        <v>0.86826666666666663</v>
      </c>
    </row>
    <row r="63" spans="1:18" x14ac:dyDescent="0.25">
      <c r="A63" s="3">
        <v>59</v>
      </c>
      <c r="B63" s="4">
        <v>46207</v>
      </c>
      <c r="C63" s="3" t="s">
        <v>33</v>
      </c>
      <c r="D63" s="3" t="s">
        <v>21</v>
      </c>
      <c r="E63" s="3" t="s">
        <v>24</v>
      </c>
      <c r="F63" s="3">
        <v>581</v>
      </c>
      <c r="G63" s="3">
        <v>576</v>
      </c>
      <c r="H63" s="3">
        <v>5</v>
      </c>
      <c r="I63" s="5">
        <f t="shared" si="0"/>
        <v>8.6058519793459545E-3</v>
      </c>
      <c r="J63" s="6">
        <f t="shared" si="5"/>
        <v>8605.8519793459545</v>
      </c>
      <c r="K63" s="7">
        <v>0.56000000000000005</v>
      </c>
      <c r="L63" s="3">
        <v>389</v>
      </c>
      <c r="M63" s="3">
        <v>450</v>
      </c>
      <c r="N63" s="3">
        <v>61</v>
      </c>
      <c r="O63" s="5">
        <f t="shared" si="1"/>
        <v>0.86444444444444446</v>
      </c>
      <c r="P63" s="5">
        <f t="shared" si="2"/>
        <v>0.83640102827763496</v>
      </c>
      <c r="Q63" s="5">
        <f t="shared" si="3"/>
        <v>0.99139414802065406</v>
      </c>
      <c r="R63" s="5">
        <f t="shared" si="4"/>
        <v>0.71679999999999999</v>
      </c>
    </row>
    <row r="64" spans="1:18" x14ac:dyDescent="0.25">
      <c r="A64" s="3">
        <v>60</v>
      </c>
      <c r="B64" s="4">
        <v>46207</v>
      </c>
      <c r="C64" s="3" t="s">
        <v>33</v>
      </c>
      <c r="D64" s="3" t="s">
        <v>23</v>
      </c>
      <c r="E64" s="3" t="s">
        <v>20</v>
      </c>
      <c r="F64" s="3">
        <v>271</v>
      </c>
      <c r="G64" s="3">
        <v>264</v>
      </c>
      <c r="H64" s="3">
        <v>7</v>
      </c>
      <c r="I64" s="5">
        <f t="shared" si="0"/>
        <v>2.5830258302583026E-2</v>
      </c>
      <c r="J64" s="6">
        <f t="shared" si="5"/>
        <v>25830.258302583028</v>
      </c>
      <c r="K64" s="7">
        <v>1.33</v>
      </c>
      <c r="L64" s="3">
        <v>445</v>
      </c>
      <c r="M64" s="3">
        <v>450</v>
      </c>
      <c r="N64" s="3">
        <v>5</v>
      </c>
      <c r="O64" s="5">
        <f t="shared" si="1"/>
        <v>0.98888888888888893</v>
      </c>
      <c r="P64" s="5">
        <f t="shared" si="2"/>
        <v>0.80995505617977526</v>
      </c>
      <c r="Q64" s="5">
        <f t="shared" si="3"/>
        <v>0.97416974169741699</v>
      </c>
      <c r="R64" s="5">
        <f t="shared" si="4"/>
        <v>0.78026666666666666</v>
      </c>
    </row>
    <row r="65" spans="1:18" x14ac:dyDescent="0.25">
      <c r="A65" s="3">
        <v>61</v>
      </c>
      <c r="B65" s="4">
        <v>46208</v>
      </c>
      <c r="C65" s="3" t="s">
        <v>18</v>
      </c>
      <c r="D65" s="3" t="s">
        <v>19</v>
      </c>
      <c r="E65" s="3" t="s">
        <v>26</v>
      </c>
      <c r="F65" s="3">
        <v>243</v>
      </c>
      <c r="G65" s="3">
        <v>234</v>
      </c>
      <c r="H65" s="3">
        <v>9</v>
      </c>
      <c r="I65" s="5">
        <f t="shared" si="0"/>
        <v>3.7037037037037035E-2</v>
      </c>
      <c r="J65" s="6">
        <f t="shared" si="5"/>
        <v>37037.037037037036</v>
      </c>
      <c r="K65" s="7">
        <v>1.36</v>
      </c>
      <c r="L65" s="3">
        <v>399</v>
      </c>
      <c r="M65" s="3">
        <v>450</v>
      </c>
      <c r="N65" s="3">
        <v>51</v>
      </c>
      <c r="O65" s="5">
        <f t="shared" si="1"/>
        <v>0.88666666666666671</v>
      </c>
      <c r="P65" s="5">
        <f t="shared" si="2"/>
        <v>0.82827067669172938</v>
      </c>
      <c r="Q65" s="5">
        <f t="shared" si="3"/>
        <v>0.96296296296296291</v>
      </c>
      <c r="R65" s="5">
        <f t="shared" si="4"/>
        <v>0.70720000000000005</v>
      </c>
    </row>
    <row r="66" spans="1:18" x14ac:dyDescent="0.25">
      <c r="A66" s="3">
        <v>62</v>
      </c>
      <c r="B66" s="4">
        <v>46208</v>
      </c>
      <c r="C66" s="3" t="s">
        <v>18</v>
      </c>
      <c r="D66" s="3" t="s">
        <v>21</v>
      </c>
      <c r="E66" s="3" t="s">
        <v>20</v>
      </c>
      <c r="F66" s="3">
        <v>284</v>
      </c>
      <c r="G66" s="3">
        <v>282</v>
      </c>
      <c r="H66" s="3">
        <v>2</v>
      </c>
      <c r="I66" s="5">
        <f t="shared" si="0"/>
        <v>7.0422535211267607E-3</v>
      </c>
      <c r="J66" s="6">
        <f t="shared" si="5"/>
        <v>7042.2535211267605</v>
      </c>
      <c r="K66" s="7">
        <v>1.39</v>
      </c>
      <c r="L66" s="3">
        <v>410</v>
      </c>
      <c r="M66" s="3">
        <v>450</v>
      </c>
      <c r="N66" s="3">
        <v>40</v>
      </c>
      <c r="O66" s="5">
        <f t="shared" si="1"/>
        <v>0.91111111111111109</v>
      </c>
      <c r="P66" s="5">
        <f t="shared" si="2"/>
        <v>0.96282926829268289</v>
      </c>
      <c r="Q66" s="5">
        <f t="shared" si="3"/>
        <v>0.99295774647887325</v>
      </c>
      <c r="R66" s="5">
        <f t="shared" si="4"/>
        <v>0.87106666666666666</v>
      </c>
    </row>
    <row r="67" spans="1:18" x14ac:dyDescent="0.25">
      <c r="A67" s="3">
        <v>63</v>
      </c>
      <c r="B67" s="4">
        <v>46208</v>
      </c>
      <c r="C67" s="3" t="s">
        <v>18</v>
      </c>
      <c r="D67" s="3" t="s">
        <v>23</v>
      </c>
      <c r="E67" s="3" t="s">
        <v>32</v>
      </c>
      <c r="F67" s="3">
        <v>681</v>
      </c>
      <c r="G67" s="3">
        <v>670</v>
      </c>
      <c r="H67" s="3">
        <v>11</v>
      </c>
      <c r="I67" s="5">
        <f t="shared" si="0"/>
        <v>1.6152716593245228E-2</v>
      </c>
      <c r="J67" s="6">
        <f t="shared" si="5"/>
        <v>16152.716593245228</v>
      </c>
      <c r="K67" s="7">
        <v>0.53</v>
      </c>
      <c r="L67" s="3">
        <v>411</v>
      </c>
      <c r="M67" s="3">
        <v>450</v>
      </c>
      <c r="N67" s="3">
        <v>39</v>
      </c>
      <c r="O67" s="5">
        <f t="shared" si="1"/>
        <v>0.91333333333333333</v>
      </c>
      <c r="P67" s="5">
        <f t="shared" si="2"/>
        <v>0.87817518248175186</v>
      </c>
      <c r="Q67" s="5">
        <f t="shared" si="3"/>
        <v>0.98384728340675476</v>
      </c>
      <c r="R67" s="5">
        <f t="shared" si="4"/>
        <v>0.7891111111111111</v>
      </c>
    </row>
    <row r="68" spans="1:18" x14ac:dyDescent="0.25">
      <c r="A68" s="3">
        <v>64</v>
      </c>
      <c r="B68" s="4">
        <v>46208</v>
      </c>
      <c r="C68" s="3" t="s">
        <v>25</v>
      </c>
      <c r="D68" s="3" t="s">
        <v>19</v>
      </c>
      <c r="E68" s="3" t="s">
        <v>24</v>
      </c>
      <c r="F68" s="3">
        <v>347</v>
      </c>
      <c r="G68" s="3">
        <v>332</v>
      </c>
      <c r="H68" s="3">
        <v>15</v>
      </c>
      <c r="I68" s="5">
        <f t="shared" si="0"/>
        <v>4.3227665706051875E-2</v>
      </c>
      <c r="J68" s="6">
        <f t="shared" si="5"/>
        <v>43227.665706051877</v>
      </c>
      <c r="K68" s="7">
        <v>1.06</v>
      </c>
      <c r="L68" s="3">
        <v>389</v>
      </c>
      <c r="M68" s="3">
        <v>450</v>
      </c>
      <c r="N68" s="3">
        <v>61</v>
      </c>
      <c r="O68" s="5">
        <f t="shared" si="1"/>
        <v>0.86444444444444446</v>
      </c>
      <c r="P68" s="5">
        <f t="shared" si="2"/>
        <v>0.9455526992287917</v>
      </c>
      <c r="Q68" s="5">
        <f t="shared" si="3"/>
        <v>0.95677233429394815</v>
      </c>
      <c r="R68" s="5">
        <f t="shared" si="4"/>
        <v>0.78204444444444443</v>
      </c>
    </row>
    <row r="69" spans="1:18" x14ac:dyDescent="0.25">
      <c r="A69" s="3">
        <v>65</v>
      </c>
      <c r="B69" s="4">
        <v>46208</v>
      </c>
      <c r="C69" s="3" t="s">
        <v>25</v>
      </c>
      <c r="D69" s="3" t="s">
        <v>21</v>
      </c>
      <c r="E69" s="3" t="s">
        <v>34</v>
      </c>
      <c r="F69" s="3">
        <v>395</v>
      </c>
      <c r="G69" s="3">
        <v>385</v>
      </c>
      <c r="H69" s="3">
        <v>10</v>
      </c>
      <c r="I69" s="5">
        <f t="shared" ref="I69:I132" si="6">IFERROR(H69/F69,0)</f>
        <v>2.5316455696202531E-2</v>
      </c>
      <c r="J69" s="6">
        <f t="shared" si="5"/>
        <v>25316.455696202531</v>
      </c>
      <c r="K69" s="7">
        <v>0.77</v>
      </c>
      <c r="L69" s="3">
        <v>387</v>
      </c>
      <c r="M69" s="3">
        <v>450</v>
      </c>
      <c r="N69" s="3">
        <v>63</v>
      </c>
      <c r="O69" s="5">
        <f t="shared" ref="O69:O132" si="7">IFERROR(L69/M69,0)</f>
        <v>0.86</v>
      </c>
      <c r="P69" s="5">
        <f t="shared" ref="P69:P132" si="8">IFERROR(F69*K69/L69,0)</f>
        <v>0.78591731266149878</v>
      </c>
      <c r="Q69" s="5">
        <f t="shared" ref="Q69:Q132" si="9">IFERROR(G69/F69,0)</f>
        <v>0.97468354430379744</v>
      </c>
      <c r="R69" s="5">
        <f t="shared" ref="R69:R132" si="10">O69*P69*Q69</f>
        <v>0.65877777777777791</v>
      </c>
    </row>
    <row r="70" spans="1:18" x14ac:dyDescent="0.25">
      <c r="A70" s="3">
        <v>66</v>
      </c>
      <c r="B70" s="4">
        <v>46208</v>
      </c>
      <c r="C70" s="3" t="s">
        <v>25</v>
      </c>
      <c r="D70" s="3" t="s">
        <v>23</v>
      </c>
      <c r="E70" s="3" t="s">
        <v>35</v>
      </c>
      <c r="F70" s="3">
        <v>247</v>
      </c>
      <c r="G70" s="3">
        <v>245</v>
      </c>
      <c r="H70" s="3">
        <v>22</v>
      </c>
      <c r="I70" s="5">
        <f t="shared" si="6"/>
        <v>8.9068825910931168E-2</v>
      </c>
      <c r="J70" s="6">
        <f t="shared" ref="J70:J133" si="11">H70/F70*1000000</f>
        <v>89068.825910931162</v>
      </c>
      <c r="K70" s="7">
        <v>1.27</v>
      </c>
      <c r="L70" s="3">
        <v>389</v>
      </c>
      <c r="M70" s="3">
        <v>450</v>
      </c>
      <c r="N70" s="3">
        <v>61</v>
      </c>
      <c r="O70" s="5">
        <f t="shared" si="7"/>
        <v>0.86444444444444446</v>
      </c>
      <c r="P70" s="5">
        <f t="shared" si="8"/>
        <v>0.80640102827763493</v>
      </c>
      <c r="Q70" s="5">
        <f t="shared" si="9"/>
        <v>0.9919028340080972</v>
      </c>
      <c r="R70" s="5">
        <f t="shared" si="10"/>
        <v>0.69144444444444442</v>
      </c>
    </row>
    <row r="71" spans="1:18" x14ac:dyDescent="0.25">
      <c r="A71" s="3">
        <v>67</v>
      </c>
      <c r="B71" s="4">
        <v>46208</v>
      </c>
      <c r="C71" s="3" t="s">
        <v>28</v>
      </c>
      <c r="D71" s="3" t="s">
        <v>19</v>
      </c>
      <c r="E71" s="3" t="s">
        <v>27</v>
      </c>
      <c r="F71" s="3">
        <v>430</v>
      </c>
      <c r="G71" s="3">
        <v>412</v>
      </c>
      <c r="H71" s="3">
        <v>18</v>
      </c>
      <c r="I71" s="5">
        <f t="shared" si="6"/>
        <v>4.1860465116279069E-2</v>
      </c>
      <c r="J71" s="6">
        <f t="shared" si="11"/>
        <v>41860.465116279069</v>
      </c>
      <c r="K71" s="7">
        <v>0.96</v>
      </c>
      <c r="L71" s="3">
        <v>445</v>
      </c>
      <c r="M71" s="3">
        <v>450</v>
      </c>
      <c r="N71" s="3">
        <v>5</v>
      </c>
      <c r="O71" s="5">
        <f t="shared" si="7"/>
        <v>0.98888888888888893</v>
      </c>
      <c r="P71" s="5">
        <f t="shared" si="8"/>
        <v>0.92764044943820223</v>
      </c>
      <c r="Q71" s="5">
        <f t="shared" si="9"/>
        <v>0.95813953488372094</v>
      </c>
      <c r="R71" s="5">
        <f t="shared" si="10"/>
        <v>0.87893333333333334</v>
      </c>
    </row>
    <row r="72" spans="1:18" x14ac:dyDescent="0.25">
      <c r="A72" s="3">
        <v>68</v>
      </c>
      <c r="B72" s="4">
        <v>46208</v>
      </c>
      <c r="C72" s="3" t="s">
        <v>28</v>
      </c>
      <c r="D72" s="3" t="s">
        <v>21</v>
      </c>
      <c r="E72" s="3" t="s">
        <v>35</v>
      </c>
      <c r="F72" s="3">
        <v>228</v>
      </c>
      <c r="G72" s="3">
        <v>220</v>
      </c>
      <c r="H72" s="3">
        <v>8</v>
      </c>
      <c r="I72" s="5">
        <f t="shared" si="6"/>
        <v>3.5087719298245612E-2</v>
      </c>
      <c r="J72" s="6">
        <f t="shared" si="11"/>
        <v>35087.719298245611</v>
      </c>
      <c r="K72" s="7">
        <v>1.52</v>
      </c>
      <c r="L72" s="3">
        <v>387</v>
      </c>
      <c r="M72" s="3">
        <v>450</v>
      </c>
      <c r="N72" s="3">
        <v>63</v>
      </c>
      <c r="O72" s="5">
        <f t="shared" si="7"/>
        <v>0.86</v>
      </c>
      <c r="P72" s="5">
        <f t="shared" si="8"/>
        <v>0.89550387596899228</v>
      </c>
      <c r="Q72" s="5">
        <f t="shared" si="9"/>
        <v>0.96491228070175439</v>
      </c>
      <c r="R72" s="5">
        <f t="shared" si="10"/>
        <v>0.74311111111111117</v>
      </c>
    </row>
    <row r="73" spans="1:18" x14ac:dyDescent="0.25">
      <c r="A73" s="3">
        <v>69</v>
      </c>
      <c r="B73" s="4">
        <v>46208</v>
      </c>
      <c r="C73" s="3" t="s">
        <v>28</v>
      </c>
      <c r="D73" s="3" t="s">
        <v>23</v>
      </c>
      <c r="E73" s="3" t="s">
        <v>35</v>
      </c>
      <c r="F73" s="3">
        <v>1052</v>
      </c>
      <c r="G73" s="3">
        <v>1014</v>
      </c>
      <c r="H73" s="3">
        <v>38</v>
      </c>
      <c r="I73" s="5">
        <f t="shared" si="6"/>
        <v>3.6121673003802278E-2</v>
      </c>
      <c r="J73" s="6">
        <f t="shared" si="11"/>
        <v>36121.67300380228</v>
      </c>
      <c r="K73" s="7">
        <v>0.38</v>
      </c>
      <c r="L73" s="3">
        <v>405</v>
      </c>
      <c r="M73" s="3">
        <v>450</v>
      </c>
      <c r="N73" s="3">
        <v>45</v>
      </c>
      <c r="O73" s="5">
        <f t="shared" si="7"/>
        <v>0.9</v>
      </c>
      <c r="P73" s="5">
        <f t="shared" si="8"/>
        <v>0.98706172839506168</v>
      </c>
      <c r="Q73" s="5">
        <f t="shared" si="9"/>
        <v>0.96387832699619769</v>
      </c>
      <c r="R73" s="5">
        <f t="shared" si="10"/>
        <v>0.85626666666666662</v>
      </c>
    </row>
    <row r="74" spans="1:18" x14ac:dyDescent="0.25">
      <c r="A74" s="3">
        <v>70</v>
      </c>
      <c r="B74" s="4">
        <v>46208</v>
      </c>
      <c r="C74" s="3" t="s">
        <v>30</v>
      </c>
      <c r="D74" s="3" t="s">
        <v>19</v>
      </c>
      <c r="E74" s="3" t="s">
        <v>26</v>
      </c>
      <c r="F74" s="3">
        <v>580</v>
      </c>
      <c r="G74" s="3">
        <v>563</v>
      </c>
      <c r="H74" s="3">
        <v>17</v>
      </c>
      <c r="I74" s="5">
        <f t="shared" si="6"/>
        <v>2.9310344827586206E-2</v>
      </c>
      <c r="J74" s="6">
        <f t="shared" si="11"/>
        <v>29310.344827586207</v>
      </c>
      <c r="K74" s="7">
        <v>0.69</v>
      </c>
      <c r="L74" s="3">
        <v>439</v>
      </c>
      <c r="M74" s="3">
        <v>450</v>
      </c>
      <c r="N74" s="3">
        <v>11</v>
      </c>
      <c r="O74" s="5">
        <f t="shared" si="7"/>
        <v>0.97555555555555551</v>
      </c>
      <c r="P74" s="5">
        <f t="shared" si="8"/>
        <v>0.91161731207289287</v>
      </c>
      <c r="Q74" s="5">
        <f t="shared" si="9"/>
        <v>0.97068965517241379</v>
      </c>
      <c r="R74" s="5">
        <f t="shared" si="10"/>
        <v>0.86326666666666652</v>
      </c>
    </row>
    <row r="75" spans="1:18" x14ac:dyDescent="0.25">
      <c r="A75" s="3">
        <v>71</v>
      </c>
      <c r="B75" s="4">
        <v>46208</v>
      </c>
      <c r="C75" s="3" t="s">
        <v>30</v>
      </c>
      <c r="D75" s="3" t="s">
        <v>21</v>
      </c>
      <c r="E75" s="3" t="s">
        <v>24</v>
      </c>
      <c r="F75" s="3">
        <v>219</v>
      </c>
      <c r="G75" s="3">
        <v>215</v>
      </c>
      <c r="H75" s="3">
        <v>4</v>
      </c>
      <c r="I75" s="5">
        <f t="shared" si="6"/>
        <v>1.8264840182648401E-2</v>
      </c>
      <c r="J75" s="6">
        <f t="shared" si="11"/>
        <v>18264.840182648401</v>
      </c>
      <c r="K75" s="7">
        <v>1.61</v>
      </c>
      <c r="L75" s="3">
        <v>400</v>
      </c>
      <c r="M75" s="3">
        <v>450</v>
      </c>
      <c r="N75" s="3">
        <v>50</v>
      </c>
      <c r="O75" s="5">
        <f t="shared" si="7"/>
        <v>0.88888888888888884</v>
      </c>
      <c r="P75" s="5">
        <f t="shared" si="8"/>
        <v>0.88147500000000012</v>
      </c>
      <c r="Q75" s="5">
        <f t="shared" si="9"/>
        <v>0.9817351598173516</v>
      </c>
      <c r="R75" s="5">
        <f t="shared" si="10"/>
        <v>0.76922222222222225</v>
      </c>
    </row>
    <row r="76" spans="1:18" x14ac:dyDescent="0.25">
      <c r="A76" s="3">
        <v>72</v>
      </c>
      <c r="B76" s="4">
        <v>46208</v>
      </c>
      <c r="C76" s="3" t="s">
        <v>30</v>
      </c>
      <c r="D76" s="3" t="s">
        <v>23</v>
      </c>
      <c r="E76" s="3" t="s">
        <v>20</v>
      </c>
      <c r="F76" s="3">
        <v>397</v>
      </c>
      <c r="G76" s="3">
        <v>381</v>
      </c>
      <c r="H76" s="3">
        <v>16</v>
      </c>
      <c r="I76" s="5">
        <f t="shared" si="6"/>
        <v>4.0302267002518891E-2</v>
      </c>
      <c r="J76" s="6">
        <f t="shared" si="11"/>
        <v>40302.267002518893</v>
      </c>
      <c r="K76" s="7">
        <v>0.97</v>
      </c>
      <c r="L76" s="3">
        <v>409</v>
      </c>
      <c r="M76" s="3">
        <v>450</v>
      </c>
      <c r="N76" s="3">
        <v>41</v>
      </c>
      <c r="O76" s="5">
        <f t="shared" si="7"/>
        <v>0.90888888888888886</v>
      </c>
      <c r="P76" s="5">
        <f t="shared" si="8"/>
        <v>0.94154034229828842</v>
      </c>
      <c r="Q76" s="5">
        <f t="shared" si="9"/>
        <v>0.95969773299748107</v>
      </c>
      <c r="R76" s="5">
        <f t="shared" si="10"/>
        <v>0.82126666666666659</v>
      </c>
    </row>
    <row r="77" spans="1:18" x14ac:dyDescent="0.25">
      <c r="A77" s="3">
        <v>73</v>
      </c>
      <c r="B77" s="4">
        <v>46208</v>
      </c>
      <c r="C77" s="3" t="s">
        <v>33</v>
      </c>
      <c r="D77" s="3" t="s">
        <v>19</v>
      </c>
      <c r="E77" s="3" t="s">
        <v>31</v>
      </c>
      <c r="F77" s="3">
        <v>343</v>
      </c>
      <c r="G77" s="3">
        <v>331</v>
      </c>
      <c r="H77" s="3">
        <v>12</v>
      </c>
      <c r="I77" s="5">
        <f t="shared" si="6"/>
        <v>3.4985422740524783E-2</v>
      </c>
      <c r="J77" s="6">
        <f t="shared" si="11"/>
        <v>34985.42274052478</v>
      </c>
      <c r="K77" s="7">
        <v>1.01</v>
      </c>
      <c r="L77" s="3">
        <v>413</v>
      </c>
      <c r="M77" s="3">
        <v>450</v>
      </c>
      <c r="N77" s="3">
        <v>37</v>
      </c>
      <c r="O77" s="5">
        <f t="shared" si="7"/>
        <v>0.9177777777777778</v>
      </c>
      <c r="P77" s="5">
        <f t="shared" si="8"/>
        <v>0.83881355932203394</v>
      </c>
      <c r="Q77" s="5">
        <f t="shared" si="9"/>
        <v>0.96501457725947526</v>
      </c>
      <c r="R77" s="5">
        <f t="shared" si="10"/>
        <v>0.7429111111111113</v>
      </c>
    </row>
    <row r="78" spans="1:18" x14ac:dyDescent="0.25">
      <c r="A78" s="3">
        <v>74</v>
      </c>
      <c r="B78" s="4">
        <v>46208</v>
      </c>
      <c r="C78" s="3" t="s">
        <v>33</v>
      </c>
      <c r="D78" s="3" t="s">
        <v>21</v>
      </c>
      <c r="E78" s="3" t="s">
        <v>27</v>
      </c>
      <c r="F78" s="3">
        <v>226</v>
      </c>
      <c r="G78" s="3">
        <v>225</v>
      </c>
      <c r="H78" s="3">
        <v>1</v>
      </c>
      <c r="I78" s="5">
        <f t="shared" si="6"/>
        <v>4.4247787610619468E-3</v>
      </c>
      <c r="J78" s="6">
        <f t="shared" si="11"/>
        <v>4424.7787610619471</v>
      </c>
      <c r="K78" s="7">
        <v>1.53</v>
      </c>
      <c r="L78" s="3">
        <v>430</v>
      </c>
      <c r="M78" s="3">
        <v>450</v>
      </c>
      <c r="N78" s="3">
        <v>20</v>
      </c>
      <c r="O78" s="5">
        <f t="shared" si="7"/>
        <v>0.9555555555555556</v>
      </c>
      <c r="P78" s="5">
        <f t="shared" si="8"/>
        <v>0.80413953488372103</v>
      </c>
      <c r="Q78" s="5">
        <f t="shared" si="9"/>
        <v>0.99557522123893805</v>
      </c>
      <c r="R78" s="5">
        <f t="shared" si="10"/>
        <v>0.76500000000000012</v>
      </c>
    </row>
    <row r="79" spans="1:18" x14ac:dyDescent="0.25">
      <c r="A79" s="3">
        <v>75</v>
      </c>
      <c r="B79" s="4">
        <v>46208</v>
      </c>
      <c r="C79" s="3" t="s">
        <v>33</v>
      </c>
      <c r="D79" s="3" t="s">
        <v>23</v>
      </c>
      <c r="E79" s="3" t="s">
        <v>29</v>
      </c>
      <c r="F79" s="3">
        <v>345</v>
      </c>
      <c r="G79" s="3">
        <v>339</v>
      </c>
      <c r="H79" s="3">
        <v>6</v>
      </c>
      <c r="I79" s="5">
        <f t="shared" si="6"/>
        <v>1.7391304347826087E-2</v>
      </c>
      <c r="J79" s="6">
        <f t="shared" si="11"/>
        <v>17391.304347826088</v>
      </c>
      <c r="K79" s="7">
        <v>1.21</v>
      </c>
      <c r="L79" s="3">
        <v>424</v>
      </c>
      <c r="M79" s="3">
        <v>450</v>
      </c>
      <c r="N79" s="3">
        <v>26</v>
      </c>
      <c r="O79" s="5">
        <f t="shared" si="7"/>
        <v>0.94222222222222218</v>
      </c>
      <c r="P79" s="5">
        <f t="shared" si="8"/>
        <v>0.98455188679245276</v>
      </c>
      <c r="Q79" s="5">
        <f t="shared" si="9"/>
        <v>0.9826086956521739</v>
      </c>
      <c r="R79" s="5">
        <f t="shared" si="10"/>
        <v>0.9115333333333332</v>
      </c>
    </row>
    <row r="80" spans="1:18" x14ac:dyDescent="0.25">
      <c r="A80" s="3">
        <v>76</v>
      </c>
      <c r="B80" s="4">
        <v>46209</v>
      </c>
      <c r="C80" s="3" t="s">
        <v>18</v>
      </c>
      <c r="D80" s="3" t="s">
        <v>19</v>
      </c>
      <c r="E80" s="3" t="s">
        <v>26</v>
      </c>
      <c r="F80" s="3">
        <v>788</v>
      </c>
      <c r="G80" s="3">
        <v>780</v>
      </c>
      <c r="H80" s="3">
        <v>33</v>
      </c>
      <c r="I80" s="5">
        <f t="shared" si="6"/>
        <v>4.1878172588832488E-2</v>
      </c>
      <c r="J80" s="6">
        <f t="shared" si="11"/>
        <v>41878.172588832487</v>
      </c>
      <c r="K80" s="7">
        <v>0.56000000000000005</v>
      </c>
      <c r="L80" s="3">
        <v>437</v>
      </c>
      <c r="M80" s="3">
        <v>450</v>
      </c>
      <c r="N80" s="3">
        <v>13</v>
      </c>
      <c r="O80" s="5">
        <f t="shared" si="7"/>
        <v>0.97111111111111115</v>
      </c>
      <c r="P80" s="5">
        <f t="shared" si="8"/>
        <v>1.0097940503432494</v>
      </c>
      <c r="Q80" s="5">
        <f t="shared" si="9"/>
        <v>0.98984771573604058</v>
      </c>
      <c r="R80" s="5">
        <f t="shared" si="10"/>
        <v>0.97066666666666668</v>
      </c>
    </row>
    <row r="81" spans="1:18" x14ac:dyDescent="0.25">
      <c r="A81" s="3">
        <v>77</v>
      </c>
      <c r="B81" s="4">
        <v>46209</v>
      </c>
      <c r="C81" s="3" t="s">
        <v>18</v>
      </c>
      <c r="D81" s="3" t="s">
        <v>21</v>
      </c>
      <c r="E81" s="3" t="s">
        <v>27</v>
      </c>
      <c r="F81" s="3">
        <v>436</v>
      </c>
      <c r="G81" s="3">
        <v>434</v>
      </c>
      <c r="H81" s="3">
        <v>2</v>
      </c>
      <c r="I81" s="5">
        <f t="shared" si="6"/>
        <v>4.5871559633027525E-3</v>
      </c>
      <c r="J81" s="6">
        <f t="shared" si="11"/>
        <v>4587.1559633027528</v>
      </c>
      <c r="K81" s="7">
        <v>0.76</v>
      </c>
      <c r="L81" s="3">
        <v>410</v>
      </c>
      <c r="M81" s="3">
        <v>450</v>
      </c>
      <c r="N81" s="3">
        <v>40</v>
      </c>
      <c r="O81" s="5">
        <f t="shared" si="7"/>
        <v>0.91111111111111109</v>
      </c>
      <c r="P81" s="5">
        <f t="shared" si="8"/>
        <v>0.80819512195121956</v>
      </c>
      <c r="Q81" s="5">
        <f t="shared" si="9"/>
        <v>0.99541284403669728</v>
      </c>
      <c r="R81" s="5">
        <f t="shared" si="10"/>
        <v>0.73297777777777773</v>
      </c>
    </row>
    <row r="82" spans="1:18" x14ac:dyDescent="0.25">
      <c r="A82" s="3">
        <v>78</v>
      </c>
      <c r="B82" s="4">
        <v>46209</v>
      </c>
      <c r="C82" s="3" t="s">
        <v>18</v>
      </c>
      <c r="D82" s="3" t="s">
        <v>23</v>
      </c>
      <c r="E82" s="3" t="s">
        <v>34</v>
      </c>
      <c r="F82" s="3">
        <v>835</v>
      </c>
      <c r="G82" s="3">
        <v>831</v>
      </c>
      <c r="H82" s="3">
        <v>4</v>
      </c>
      <c r="I82" s="5">
        <f t="shared" si="6"/>
        <v>4.7904191616766467E-3</v>
      </c>
      <c r="J82" s="6">
        <f t="shared" si="11"/>
        <v>4790.4191616766466</v>
      </c>
      <c r="K82" s="7">
        <v>0.43</v>
      </c>
      <c r="L82" s="3">
        <v>436</v>
      </c>
      <c r="M82" s="3">
        <v>450</v>
      </c>
      <c r="N82" s="3">
        <v>14</v>
      </c>
      <c r="O82" s="5">
        <f t="shared" si="7"/>
        <v>0.96888888888888891</v>
      </c>
      <c r="P82" s="5">
        <f t="shared" si="8"/>
        <v>0.82350917431192661</v>
      </c>
      <c r="Q82" s="5">
        <f t="shared" si="9"/>
        <v>0.99520958083832334</v>
      </c>
      <c r="R82" s="5">
        <f t="shared" si="10"/>
        <v>0.79406666666666659</v>
      </c>
    </row>
    <row r="83" spans="1:18" x14ac:dyDescent="0.25">
      <c r="A83" s="3">
        <v>79</v>
      </c>
      <c r="B83" s="4">
        <v>46209</v>
      </c>
      <c r="C83" s="3" t="s">
        <v>25</v>
      </c>
      <c r="D83" s="3" t="s">
        <v>19</v>
      </c>
      <c r="E83" s="3" t="s">
        <v>32</v>
      </c>
      <c r="F83" s="3">
        <v>300</v>
      </c>
      <c r="G83" s="3">
        <v>295</v>
      </c>
      <c r="H83" s="3">
        <v>5</v>
      </c>
      <c r="I83" s="5">
        <f t="shared" si="6"/>
        <v>1.6666666666666666E-2</v>
      </c>
      <c r="J83" s="6">
        <f t="shared" si="11"/>
        <v>16666.666666666668</v>
      </c>
      <c r="K83" s="7">
        <v>1.21</v>
      </c>
      <c r="L83" s="3">
        <v>414</v>
      </c>
      <c r="M83" s="3">
        <v>450</v>
      </c>
      <c r="N83" s="3">
        <v>36</v>
      </c>
      <c r="O83" s="5">
        <f t="shared" si="7"/>
        <v>0.92</v>
      </c>
      <c r="P83" s="5">
        <f t="shared" si="8"/>
        <v>0.87681159420289856</v>
      </c>
      <c r="Q83" s="5">
        <f t="shared" si="9"/>
        <v>0.98333333333333328</v>
      </c>
      <c r="R83" s="5">
        <f t="shared" si="10"/>
        <v>0.79322222222222227</v>
      </c>
    </row>
    <row r="84" spans="1:18" x14ac:dyDescent="0.25">
      <c r="A84" s="3">
        <v>80</v>
      </c>
      <c r="B84" s="4">
        <v>46209</v>
      </c>
      <c r="C84" s="3" t="s">
        <v>25</v>
      </c>
      <c r="D84" s="3" t="s">
        <v>21</v>
      </c>
      <c r="E84" s="3" t="s">
        <v>24</v>
      </c>
      <c r="F84" s="3">
        <v>373</v>
      </c>
      <c r="G84" s="3">
        <v>359</v>
      </c>
      <c r="H84" s="3">
        <v>14</v>
      </c>
      <c r="I84" s="5">
        <f t="shared" si="6"/>
        <v>3.7533512064343161E-2</v>
      </c>
      <c r="J84" s="6">
        <f t="shared" si="11"/>
        <v>37533.512064343158</v>
      </c>
      <c r="K84" s="7">
        <v>1.08</v>
      </c>
      <c r="L84" s="3">
        <v>404</v>
      </c>
      <c r="M84" s="3">
        <v>450</v>
      </c>
      <c r="N84" s="3">
        <v>46</v>
      </c>
      <c r="O84" s="5">
        <f t="shared" si="7"/>
        <v>0.89777777777777779</v>
      </c>
      <c r="P84" s="5">
        <f t="shared" si="8"/>
        <v>0.99712871287128724</v>
      </c>
      <c r="Q84" s="5">
        <f t="shared" si="9"/>
        <v>0.96246648793565681</v>
      </c>
      <c r="R84" s="5">
        <f t="shared" si="10"/>
        <v>0.86160000000000003</v>
      </c>
    </row>
    <row r="85" spans="1:18" x14ac:dyDescent="0.25">
      <c r="A85" s="3">
        <v>81</v>
      </c>
      <c r="B85" s="4">
        <v>46209</v>
      </c>
      <c r="C85" s="3" t="s">
        <v>25</v>
      </c>
      <c r="D85" s="3" t="s">
        <v>23</v>
      </c>
      <c r="E85" s="3" t="s">
        <v>29</v>
      </c>
      <c r="F85" s="3">
        <v>849</v>
      </c>
      <c r="G85" s="3">
        <v>838</v>
      </c>
      <c r="H85" s="3">
        <v>11</v>
      </c>
      <c r="I85" s="5">
        <f t="shared" si="6"/>
        <v>1.2956419316843345E-2</v>
      </c>
      <c r="J85" s="6">
        <f t="shared" si="11"/>
        <v>12956.419316843345</v>
      </c>
      <c r="K85" s="7">
        <v>0.41</v>
      </c>
      <c r="L85" s="3">
        <v>415</v>
      </c>
      <c r="M85" s="3">
        <v>450</v>
      </c>
      <c r="N85" s="3">
        <v>35</v>
      </c>
      <c r="O85" s="5">
        <f t="shared" si="7"/>
        <v>0.92222222222222228</v>
      </c>
      <c r="P85" s="5">
        <f t="shared" si="8"/>
        <v>0.83877108433734937</v>
      </c>
      <c r="Q85" s="5">
        <f t="shared" si="9"/>
        <v>0.98704358068315667</v>
      </c>
      <c r="R85" s="5">
        <f t="shared" si="10"/>
        <v>0.76351111111111125</v>
      </c>
    </row>
    <row r="86" spans="1:18" x14ac:dyDescent="0.25">
      <c r="A86" s="3">
        <v>82</v>
      </c>
      <c r="B86" s="4">
        <v>46209</v>
      </c>
      <c r="C86" s="3" t="s">
        <v>28</v>
      </c>
      <c r="D86" s="3" t="s">
        <v>19</v>
      </c>
      <c r="E86" s="3" t="s">
        <v>26</v>
      </c>
      <c r="F86" s="3">
        <v>325</v>
      </c>
      <c r="G86" s="3">
        <v>323</v>
      </c>
      <c r="H86" s="3">
        <v>2</v>
      </c>
      <c r="I86" s="5">
        <f t="shared" si="6"/>
        <v>6.1538461538461538E-3</v>
      </c>
      <c r="J86" s="6">
        <f t="shared" si="11"/>
        <v>6153.8461538461543</v>
      </c>
      <c r="K86" s="7">
        <v>1.18</v>
      </c>
      <c r="L86" s="3">
        <v>434</v>
      </c>
      <c r="M86" s="3">
        <v>450</v>
      </c>
      <c r="N86" s="3">
        <v>16</v>
      </c>
      <c r="O86" s="5">
        <f t="shared" si="7"/>
        <v>0.96444444444444444</v>
      </c>
      <c r="P86" s="5">
        <f t="shared" si="8"/>
        <v>0.88364055299539168</v>
      </c>
      <c r="Q86" s="5">
        <f t="shared" si="9"/>
        <v>0.99384615384615382</v>
      </c>
      <c r="R86" s="5">
        <f t="shared" si="10"/>
        <v>0.84697777777777772</v>
      </c>
    </row>
    <row r="87" spans="1:18" x14ac:dyDescent="0.25">
      <c r="A87" s="3">
        <v>83</v>
      </c>
      <c r="B87" s="4">
        <v>46209</v>
      </c>
      <c r="C87" s="3" t="s">
        <v>28</v>
      </c>
      <c r="D87" s="3" t="s">
        <v>21</v>
      </c>
      <c r="E87" s="3" t="s">
        <v>35</v>
      </c>
      <c r="F87" s="3">
        <v>352</v>
      </c>
      <c r="G87" s="3">
        <v>339</v>
      </c>
      <c r="H87" s="3">
        <v>13</v>
      </c>
      <c r="I87" s="5">
        <f t="shared" si="6"/>
        <v>3.6931818181818184E-2</v>
      </c>
      <c r="J87" s="6">
        <f t="shared" si="11"/>
        <v>36931.818181818184</v>
      </c>
      <c r="K87" s="7">
        <v>0.89</v>
      </c>
      <c r="L87" s="3">
        <v>389</v>
      </c>
      <c r="M87" s="3">
        <v>450</v>
      </c>
      <c r="N87" s="3">
        <v>61</v>
      </c>
      <c r="O87" s="5">
        <f t="shared" si="7"/>
        <v>0.86444444444444446</v>
      </c>
      <c r="P87" s="5">
        <f t="shared" si="8"/>
        <v>0.80534704370179955</v>
      </c>
      <c r="Q87" s="5">
        <f t="shared" si="9"/>
        <v>0.96306818181818177</v>
      </c>
      <c r="R87" s="5">
        <f t="shared" si="10"/>
        <v>0.67046666666666677</v>
      </c>
    </row>
    <row r="88" spans="1:18" x14ac:dyDescent="0.25">
      <c r="A88" s="3">
        <v>84</v>
      </c>
      <c r="B88" s="4">
        <v>46209</v>
      </c>
      <c r="C88" s="3" t="s">
        <v>28</v>
      </c>
      <c r="D88" s="3" t="s">
        <v>23</v>
      </c>
      <c r="E88" s="3" t="s">
        <v>22</v>
      </c>
      <c r="F88" s="3">
        <v>973</v>
      </c>
      <c r="G88" s="3">
        <v>966</v>
      </c>
      <c r="H88" s="3">
        <v>7</v>
      </c>
      <c r="I88" s="5">
        <f t="shared" si="6"/>
        <v>7.1942446043165471E-3</v>
      </c>
      <c r="J88" s="6">
        <f t="shared" si="11"/>
        <v>7194.2446043165473</v>
      </c>
      <c r="K88" s="7">
        <v>0.43</v>
      </c>
      <c r="L88" s="3">
        <v>414</v>
      </c>
      <c r="M88" s="3">
        <v>450</v>
      </c>
      <c r="N88" s="3">
        <v>36</v>
      </c>
      <c r="O88" s="5">
        <f t="shared" si="7"/>
        <v>0.92</v>
      </c>
      <c r="P88" s="5">
        <f t="shared" si="8"/>
        <v>1.0106038647342994</v>
      </c>
      <c r="Q88" s="5">
        <f t="shared" si="9"/>
        <v>0.9928057553956835</v>
      </c>
      <c r="R88" s="5">
        <f t="shared" si="10"/>
        <v>0.9230666666666667</v>
      </c>
    </row>
    <row r="89" spans="1:18" x14ac:dyDescent="0.25">
      <c r="A89" s="3">
        <v>85</v>
      </c>
      <c r="B89" s="4">
        <v>46209</v>
      </c>
      <c r="C89" s="3" t="s">
        <v>30</v>
      </c>
      <c r="D89" s="3" t="s">
        <v>19</v>
      </c>
      <c r="E89" s="3" t="s">
        <v>26</v>
      </c>
      <c r="F89" s="3">
        <v>259</v>
      </c>
      <c r="G89" s="3">
        <v>249</v>
      </c>
      <c r="H89" s="3">
        <v>10</v>
      </c>
      <c r="I89" s="5">
        <f t="shared" si="6"/>
        <v>3.8610038610038609E-2</v>
      </c>
      <c r="J89" s="6">
        <f t="shared" si="11"/>
        <v>38610.038610038609</v>
      </c>
      <c r="K89" s="7">
        <v>1.57</v>
      </c>
      <c r="L89" s="3">
        <v>397</v>
      </c>
      <c r="M89" s="3">
        <v>450</v>
      </c>
      <c r="N89" s="3">
        <v>53</v>
      </c>
      <c r="O89" s="5">
        <f t="shared" si="7"/>
        <v>0.88222222222222224</v>
      </c>
      <c r="P89" s="5">
        <f t="shared" si="8"/>
        <v>1.0242569269521411</v>
      </c>
      <c r="Q89" s="5">
        <f t="shared" si="9"/>
        <v>0.96138996138996136</v>
      </c>
      <c r="R89" s="5">
        <f t="shared" si="10"/>
        <v>0.86873333333333336</v>
      </c>
    </row>
    <row r="90" spans="1:18" x14ac:dyDescent="0.25">
      <c r="A90" s="3">
        <v>86</v>
      </c>
      <c r="B90" s="4">
        <v>46209</v>
      </c>
      <c r="C90" s="3" t="s">
        <v>30</v>
      </c>
      <c r="D90" s="3" t="s">
        <v>21</v>
      </c>
      <c r="E90" s="3" t="s">
        <v>22</v>
      </c>
      <c r="F90" s="3">
        <v>247</v>
      </c>
      <c r="G90" s="3">
        <v>238</v>
      </c>
      <c r="H90" s="3">
        <v>9</v>
      </c>
      <c r="I90" s="5">
        <f t="shared" si="6"/>
        <v>3.643724696356275E-2</v>
      </c>
      <c r="J90" s="6">
        <f t="shared" si="11"/>
        <v>36437.246963562749</v>
      </c>
      <c r="K90" s="7">
        <v>1.48</v>
      </c>
      <c r="L90" s="3">
        <v>390</v>
      </c>
      <c r="M90" s="3">
        <v>450</v>
      </c>
      <c r="N90" s="3">
        <v>60</v>
      </c>
      <c r="O90" s="5">
        <f t="shared" si="7"/>
        <v>0.8666666666666667</v>
      </c>
      <c r="P90" s="5">
        <f t="shared" si="8"/>
        <v>0.93733333333333335</v>
      </c>
      <c r="Q90" s="5">
        <f t="shared" si="9"/>
        <v>0.96356275303643724</v>
      </c>
      <c r="R90" s="5">
        <f t="shared" si="10"/>
        <v>0.78275555555555565</v>
      </c>
    </row>
    <row r="91" spans="1:18" x14ac:dyDescent="0.25">
      <c r="A91" s="3">
        <v>87</v>
      </c>
      <c r="B91" s="4">
        <v>46209</v>
      </c>
      <c r="C91" s="3" t="s">
        <v>30</v>
      </c>
      <c r="D91" s="3" t="s">
        <v>23</v>
      </c>
      <c r="E91" s="3" t="s">
        <v>35</v>
      </c>
      <c r="F91" s="3">
        <v>652</v>
      </c>
      <c r="G91" s="3">
        <v>627</v>
      </c>
      <c r="H91" s="3">
        <v>25</v>
      </c>
      <c r="I91" s="5">
        <f t="shared" si="6"/>
        <v>3.834355828220859E-2</v>
      </c>
      <c r="J91" s="6">
        <f t="shared" si="11"/>
        <v>38343.558282208593</v>
      </c>
      <c r="K91" s="7">
        <v>0.55000000000000004</v>
      </c>
      <c r="L91" s="3">
        <v>395</v>
      </c>
      <c r="M91" s="3">
        <v>450</v>
      </c>
      <c r="N91" s="3">
        <v>55</v>
      </c>
      <c r="O91" s="5">
        <f t="shared" si="7"/>
        <v>0.87777777777777777</v>
      </c>
      <c r="P91" s="5">
        <f t="shared" si="8"/>
        <v>0.90784810126582283</v>
      </c>
      <c r="Q91" s="5">
        <f t="shared" si="9"/>
        <v>0.96165644171779141</v>
      </c>
      <c r="R91" s="5">
        <f t="shared" si="10"/>
        <v>0.76633333333333331</v>
      </c>
    </row>
    <row r="92" spans="1:18" x14ac:dyDescent="0.25">
      <c r="A92" s="3">
        <v>88</v>
      </c>
      <c r="B92" s="4">
        <v>46209</v>
      </c>
      <c r="C92" s="3" t="s">
        <v>33</v>
      </c>
      <c r="D92" s="3" t="s">
        <v>19</v>
      </c>
      <c r="E92" s="3" t="s">
        <v>32</v>
      </c>
      <c r="F92" s="3">
        <v>354</v>
      </c>
      <c r="G92" s="3">
        <v>343</v>
      </c>
      <c r="H92" s="3">
        <v>11</v>
      </c>
      <c r="I92" s="5">
        <f t="shared" si="6"/>
        <v>3.1073446327683617E-2</v>
      </c>
      <c r="J92" s="6">
        <f t="shared" si="11"/>
        <v>31073.446327683618</v>
      </c>
      <c r="K92" s="7">
        <v>1.02</v>
      </c>
      <c r="L92" s="3">
        <v>413</v>
      </c>
      <c r="M92" s="3">
        <v>450</v>
      </c>
      <c r="N92" s="3">
        <v>37</v>
      </c>
      <c r="O92" s="5">
        <f t="shared" si="7"/>
        <v>0.9177777777777778</v>
      </c>
      <c r="P92" s="5">
        <f t="shared" si="8"/>
        <v>0.87428571428571422</v>
      </c>
      <c r="Q92" s="5">
        <f t="shared" si="9"/>
        <v>0.96892655367231639</v>
      </c>
      <c r="R92" s="5">
        <f t="shared" si="10"/>
        <v>0.77746666666666664</v>
      </c>
    </row>
    <row r="93" spans="1:18" x14ac:dyDescent="0.25">
      <c r="A93" s="3">
        <v>89</v>
      </c>
      <c r="B93" s="4">
        <v>46209</v>
      </c>
      <c r="C93" s="3" t="s">
        <v>33</v>
      </c>
      <c r="D93" s="3" t="s">
        <v>21</v>
      </c>
      <c r="E93" s="3" t="s">
        <v>24</v>
      </c>
      <c r="F93" s="3">
        <v>537</v>
      </c>
      <c r="G93" s="3">
        <v>526</v>
      </c>
      <c r="H93" s="3">
        <v>11</v>
      </c>
      <c r="I93" s="5">
        <f t="shared" si="6"/>
        <v>2.0484171322160148E-2</v>
      </c>
      <c r="J93" s="6">
        <f t="shared" si="11"/>
        <v>20484.171322160149</v>
      </c>
      <c r="K93" s="7">
        <v>0.74</v>
      </c>
      <c r="L93" s="3">
        <v>442</v>
      </c>
      <c r="M93" s="3">
        <v>450</v>
      </c>
      <c r="N93" s="3">
        <v>8</v>
      </c>
      <c r="O93" s="5">
        <f t="shared" si="7"/>
        <v>0.98222222222222222</v>
      </c>
      <c r="P93" s="5">
        <f t="shared" si="8"/>
        <v>0.89904977375565609</v>
      </c>
      <c r="Q93" s="5">
        <f t="shared" si="9"/>
        <v>0.97951582867783982</v>
      </c>
      <c r="R93" s="5">
        <f t="shared" si="10"/>
        <v>0.86497777777777773</v>
      </c>
    </row>
    <row r="94" spans="1:18" x14ac:dyDescent="0.25">
      <c r="A94" s="3">
        <v>90</v>
      </c>
      <c r="B94" s="4">
        <v>46209</v>
      </c>
      <c r="C94" s="3" t="s">
        <v>33</v>
      </c>
      <c r="D94" s="3" t="s">
        <v>23</v>
      </c>
      <c r="E94" s="3" t="s">
        <v>20</v>
      </c>
      <c r="F94" s="3">
        <v>552</v>
      </c>
      <c r="G94" s="3">
        <v>542</v>
      </c>
      <c r="H94" s="3">
        <v>10</v>
      </c>
      <c r="I94" s="5">
        <f t="shared" si="6"/>
        <v>1.8115942028985508E-2</v>
      </c>
      <c r="J94" s="6">
        <f t="shared" si="11"/>
        <v>18115.942028985508</v>
      </c>
      <c r="K94" s="7">
        <v>0.69</v>
      </c>
      <c r="L94" s="3">
        <v>437</v>
      </c>
      <c r="M94" s="3">
        <v>450</v>
      </c>
      <c r="N94" s="3">
        <v>13</v>
      </c>
      <c r="O94" s="5">
        <f t="shared" si="7"/>
        <v>0.97111111111111115</v>
      </c>
      <c r="P94" s="5">
        <f t="shared" si="8"/>
        <v>0.87157894736842101</v>
      </c>
      <c r="Q94" s="5">
        <f t="shared" si="9"/>
        <v>0.98188405797101452</v>
      </c>
      <c r="R94" s="5">
        <f t="shared" si="10"/>
        <v>0.83106666666666673</v>
      </c>
    </row>
    <row r="95" spans="1:18" x14ac:dyDescent="0.25">
      <c r="A95" s="3">
        <v>91</v>
      </c>
      <c r="B95" s="4">
        <v>46210</v>
      </c>
      <c r="C95" s="3" t="s">
        <v>18</v>
      </c>
      <c r="D95" s="3" t="s">
        <v>19</v>
      </c>
      <c r="E95" s="3" t="s">
        <v>26</v>
      </c>
      <c r="F95" s="3">
        <v>486</v>
      </c>
      <c r="G95" s="3">
        <v>478</v>
      </c>
      <c r="H95" s="3">
        <v>8</v>
      </c>
      <c r="I95" s="5">
        <f t="shared" si="6"/>
        <v>1.646090534979424E-2</v>
      </c>
      <c r="J95" s="6">
        <f t="shared" si="11"/>
        <v>16460.90534979424</v>
      </c>
      <c r="K95" s="7">
        <v>0.82</v>
      </c>
      <c r="L95" s="3">
        <v>419</v>
      </c>
      <c r="M95" s="3">
        <v>450</v>
      </c>
      <c r="N95" s="3">
        <v>31</v>
      </c>
      <c r="O95" s="5">
        <f t="shared" si="7"/>
        <v>0.93111111111111111</v>
      </c>
      <c r="P95" s="5">
        <f t="shared" si="8"/>
        <v>0.95112171837708825</v>
      </c>
      <c r="Q95" s="5">
        <f t="shared" si="9"/>
        <v>0.98353909465020573</v>
      </c>
      <c r="R95" s="5">
        <f t="shared" si="10"/>
        <v>0.87102222222222214</v>
      </c>
    </row>
    <row r="96" spans="1:18" x14ac:dyDescent="0.25">
      <c r="A96" s="3">
        <v>92</v>
      </c>
      <c r="B96" s="4">
        <v>46210</v>
      </c>
      <c r="C96" s="3" t="s">
        <v>18</v>
      </c>
      <c r="D96" s="3" t="s">
        <v>21</v>
      </c>
      <c r="E96" s="3" t="s">
        <v>31</v>
      </c>
      <c r="F96" s="3">
        <v>246</v>
      </c>
      <c r="G96" s="3">
        <v>240</v>
      </c>
      <c r="H96" s="3">
        <v>6</v>
      </c>
      <c r="I96" s="5">
        <f t="shared" si="6"/>
        <v>2.4390243902439025E-2</v>
      </c>
      <c r="J96" s="6">
        <f t="shared" si="11"/>
        <v>24390.243902439026</v>
      </c>
      <c r="K96" s="7">
        <v>1.73</v>
      </c>
      <c r="L96" s="3">
        <v>422</v>
      </c>
      <c r="M96" s="3">
        <v>450</v>
      </c>
      <c r="N96" s="3">
        <v>28</v>
      </c>
      <c r="O96" s="5">
        <f t="shared" si="7"/>
        <v>0.93777777777777782</v>
      </c>
      <c r="P96" s="5">
        <f t="shared" si="8"/>
        <v>1.0084834123222748</v>
      </c>
      <c r="Q96" s="5">
        <f t="shared" si="9"/>
        <v>0.97560975609756095</v>
      </c>
      <c r="R96" s="5">
        <f t="shared" si="10"/>
        <v>0.92266666666666663</v>
      </c>
    </row>
    <row r="97" spans="1:18" x14ac:dyDescent="0.25">
      <c r="A97" s="3">
        <v>93</v>
      </c>
      <c r="B97" s="4">
        <v>46210</v>
      </c>
      <c r="C97" s="3" t="s">
        <v>18</v>
      </c>
      <c r="D97" s="3" t="s">
        <v>23</v>
      </c>
      <c r="E97" s="3" t="s">
        <v>35</v>
      </c>
      <c r="F97" s="3">
        <v>498</v>
      </c>
      <c r="G97" s="3">
        <v>483</v>
      </c>
      <c r="H97" s="3">
        <v>15</v>
      </c>
      <c r="I97" s="5">
        <f t="shared" si="6"/>
        <v>3.0120481927710843E-2</v>
      </c>
      <c r="J97" s="6">
        <f t="shared" si="11"/>
        <v>30120.481927710844</v>
      </c>
      <c r="K97" s="7">
        <v>0.83</v>
      </c>
      <c r="L97" s="3">
        <v>417</v>
      </c>
      <c r="M97" s="3">
        <v>450</v>
      </c>
      <c r="N97" s="3">
        <v>33</v>
      </c>
      <c r="O97" s="5">
        <f t="shared" si="7"/>
        <v>0.92666666666666664</v>
      </c>
      <c r="P97" s="5">
        <f t="shared" si="8"/>
        <v>0.99122302158273379</v>
      </c>
      <c r="Q97" s="5">
        <f t="shared" si="9"/>
        <v>0.96987951807228912</v>
      </c>
      <c r="R97" s="5">
        <f t="shared" si="10"/>
        <v>0.89086666666666658</v>
      </c>
    </row>
    <row r="98" spans="1:18" x14ac:dyDescent="0.25">
      <c r="A98" s="3">
        <v>94</v>
      </c>
      <c r="B98" s="4">
        <v>46210</v>
      </c>
      <c r="C98" s="3" t="s">
        <v>25</v>
      </c>
      <c r="D98" s="3" t="s">
        <v>19</v>
      </c>
      <c r="E98" s="3" t="s">
        <v>26</v>
      </c>
      <c r="F98" s="3">
        <v>248</v>
      </c>
      <c r="G98" s="3">
        <v>241</v>
      </c>
      <c r="H98" s="3">
        <v>7</v>
      </c>
      <c r="I98" s="5">
        <f t="shared" si="6"/>
        <v>2.8225806451612902E-2</v>
      </c>
      <c r="J98" s="6">
        <f t="shared" si="11"/>
        <v>28225.806451612902</v>
      </c>
      <c r="K98" s="7">
        <v>1.52</v>
      </c>
      <c r="L98" s="3">
        <v>413</v>
      </c>
      <c r="M98" s="3">
        <v>450</v>
      </c>
      <c r="N98" s="3">
        <v>37</v>
      </c>
      <c r="O98" s="5">
        <f t="shared" si="7"/>
        <v>0.9177777777777778</v>
      </c>
      <c r="P98" s="5">
        <f t="shared" si="8"/>
        <v>0.91273607748184016</v>
      </c>
      <c r="Q98" s="5">
        <f t="shared" si="9"/>
        <v>0.97177419354838712</v>
      </c>
      <c r="R98" s="5">
        <f t="shared" si="10"/>
        <v>0.81404444444444446</v>
      </c>
    </row>
    <row r="99" spans="1:18" x14ac:dyDescent="0.25">
      <c r="A99" s="3">
        <v>95</v>
      </c>
      <c r="B99" s="4">
        <v>46210</v>
      </c>
      <c r="C99" s="3" t="s">
        <v>25</v>
      </c>
      <c r="D99" s="3" t="s">
        <v>21</v>
      </c>
      <c r="E99" s="3" t="s">
        <v>34</v>
      </c>
      <c r="F99" s="3">
        <v>469</v>
      </c>
      <c r="G99" s="3">
        <v>454</v>
      </c>
      <c r="H99" s="3">
        <v>15</v>
      </c>
      <c r="I99" s="5">
        <f t="shared" si="6"/>
        <v>3.1982942430703626E-2</v>
      </c>
      <c r="J99" s="6">
        <f t="shared" si="11"/>
        <v>31982.942430703624</v>
      </c>
      <c r="K99" s="7">
        <v>0.77</v>
      </c>
      <c r="L99" s="3">
        <v>435</v>
      </c>
      <c r="M99" s="3">
        <v>450</v>
      </c>
      <c r="N99" s="3">
        <v>15</v>
      </c>
      <c r="O99" s="5">
        <f t="shared" si="7"/>
        <v>0.96666666666666667</v>
      </c>
      <c r="P99" s="5">
        <f t="shared" si="8"/>
        <v>0.83018390804597697</v>
      </c>
      <c r="Q99" s="5">
        <f t="shared" si="9"/>
        <v>0.96801705756929635</v>
      </c>
      <c r="R99" s="5">
        <f t="shared" si="10"/>
        <v>0.77684444444444434</v>
      </c>
    </row>
    <row r="100" spans="1:18" x14ac:dyDescent="0.25">
      <c r="A100" s="3">
        <v>96</v>
      </c>
      <c r="B100" s="4">
        <v>46210</v>
      </c>
      <c r="C100" s="3" t="s">
        <v>25</v>
      </c>
      <c r="D100" s="3" t="s">
        <v>23</v>
      </c>
      <c r="E100" s="3" t="s">
        <v>32</v>
      </c>
      <c r="F100" s="3">
        <v>203</v>
      </c>
      <c r="G100" s="3">
        <v>197</v>
      </c>
      <c r="H100" s="3">
        <v>6</v>
      </c>
      <c r="I100" s="5">
        <f t="shared" si="6"/>
        <v>2.9556650246305417E-2</v>
      </c>
      <c r="J100" s="6">
        <f t="shared" si="11"/>
        <v>29556.650246305417</v>
      </c>
      <c r="K100" s="7">
        <v>1.6</v>
      </c>
      <c r="L100" s="3">
        <v>401</v>
      </c>
      <c r="M100" s="3">
        <v>450</v>
      </c>
      <c r="N100" s="3">
        <v>49</v>
      </c>
      <c r="O100" s="5">
        <f t="shared" si="7"/>
        <v>0.89111111111111108</v>
      </c>
      <c r="P100" s="5">
        <f t="shared" si="8"/>
        <v>0.80997506234413963</v>
      </c>
      <c r="Q100" s="5">
        <f t="shared" si="9"/>
        <v>0.97044334975369462</v>
      </c>
      <c r="R100" s="5">
        <f t="shared" si="10"/>
        <v>0.70044444444444443</v>
      </c>
    </row>
    <row r="101" spans="1:18" x14ac:dyDescent="0.25">
      <c r="A101" s="3">
        <v>97</v>
      </c>
      <c r="B101" s="4">
        <v>46210</v>
      </c>
      <c r="C101" s="3" t="s">
        <v>28</v>
      </c>
      <c r="D101" s="3" t="s">
        <v>19</v>
      </c>
      <c r="E101" s="3" t="s">
        <v>34</v>
      </c>
      <c r="F101" s="3">
        <v>667</v>
      </c>
      <c r="G101" s="3">
        <v>639</v>
      </c>
      <c r="H101" s="3">
        <v>28</v>
      </c>
      <c r="I101" s="5">
        <f t="shared" si="6"/>
        <v>4.1979010494752625E-2</v>
      </c>
      <c r="J101" s="6">
        <f t="shared" si="11"/>
        <v>41979.010494752627</v>
      </c>
      <c r="K101" s="7">
        <v>0.49</v>
      </c>
      <c r="L101" s="3">
        <v>408</v>
      </c>
      <c r="M101" s="3">
        <v>450</v>
      </c>
      <c r="N101" s="3">
        <v>42</v>
      </c>
      <c r="O101" s="5">
        <f t="shared" si="7"/>
        <v>0.90666666666666662</v>
      </c>
      <c r="P101" s="5">
        <f t="shared" si="8"/>
        <v>0.80105392156862743</v>
      </c>
      <c r="Q101" s="5">
        <f t="shared" si="9"/>
        <v>0.95802098950524739</v>
      </c>
      <c r="R101" s="5">
        <f t="shared" si="10"/>
        <v>0.69579999999999997</v>
      </c>
    </row>
    <row r="102" spans="1:18" x14ac:dyDescent="0.25">
      <c r="A102" s="3">
        <v>98</v>
      </c>
      <c r="B102" s="4">
        <v>46210</v>
      </c>
      <c r="C102" s="3" t="s">
        <v>28</v>
      </c>
      <c r="D102" s="3" t="s">
        <v>21</v>
      </c>
      <c r="E102" s="3" t="s">
        <v>27</v>
      </c>
      <c r="F102" s="3">
        <v>743</v>
      </c>
      <c r="G102" s="3">
        <v>716</v>
      </c>
      <c r="H102" s="3">
        <v>27</v>
      </c>
      <c r="I102" s="5">
        <f t="shared" si="6"/>
        <v>3.6339165545087482E-2</v>
      </c>
      <c r="J102" s="6">
        <f t="shared" si="11"/>
        <v>36339.165545087482</v>
      </c>
      <c r="K102" s="7">
        <v>0.55000000000000004</v>
      </c>
      <c r="L102" s="3">
        <v>401</v>
      </c>
      <c r="M102" s="3">
        <v>450</v>
      </c>
      <c r="N102" s="3">
        <v>49</v>
      </c>
      <c r="O102" s="5">
        <f t="shared" si="7"/>
        <v>0.89111111111111108</v>
      </c>
      <c r="P102" s="5">
        <f t="shared" si="8"/>
        <v>1.0190773067331671</v>
      </c>
      <c r="Q102" s="5">
        <f t="shared" si="9"/>
        <v>0.96366083445491246</v>
      </c>
      <c r="R102" s="5">
        <f t="shared" si="10"/>
        <v>0.87511111111111106</v>
      </c>
    </row>
    <row r="103" spans="1:18" x14ac:dyDescent="0.25">
      <c r="A103" s="3">
        <v>99</v>
      </c>
      <c r="B103" s="4">
        <v>46210</v>
      </c>
      <c r="C103" s="3" t="s">
        <v>28</v>
      </c>
      <c r="D103" s="3" t="s">
        <v>23</v>
      </c>
      <c r="E103" s="3" t="s">
        <v>24</v>
      </c>
      <c r="F103" s="3">
        <v>338</v>
      </c>
      <c r="G103" s="3">
        <v>324</v>
      </c>
      <c r="H103" s="3">
        <v>14</v>
      </c>
      <c r="I103" s="5">
        <f t="shared" si="6"/>
        <v>4.142011834319527E-2</v>
      </c>
      <c r="J103" s="6">
        <f t="shared" si="11"/>
        <v>41420.118343195267</v>
      </c>
      <c r="K103" s="7">
        <v>1.21</v>
      </c>
      <c r="L103" s="3">
        <v>418</v>
      </c>
      <c r="M103" s="3">
        <v>450</v>
      </c>
      <c r="N103" s="3">
        <v>32</v>
      </c>
      <c r="O103" s="5">
        <f t="shared" si="7"/>
        <v>0.92888888888888888</v>
      </c>
      <c r="P103" s="5">
        <f t="shared" si="8"/>
        <v>0.97842105263157886</v>
      </c>
      <c r="Q103" s="5">
        <f t="shared" si="9"/>
        <v>0.95857988165680474</v>
      </c>
      <c r="R103" s="5">
        <f t="shared" si="10"/>
        <v>0.87119999999999986</v>
      </c>
    </row>
    <row r="104" spans="1:18" x14ac:dyDescent="0.25">
      <c r="A104" s="3">
        <v>100</v>
      </c>
      <c r="B104" s="4">
        <v>46210</v>
      </c>
      <c r="C104" s="3" t="s">
        <v>30</v>
      </c>
      <c r="D104" s="3" t="s">
        <v>19</v>
      </c>
      <c r="E104" s="3" t="s">
        <v>27</v>
      </c>
      <c r="F104" s="3">
        <v>512</v>
      </c>
      <c r="G104" s="3">
        <v>508</v>
      </c>
      <c r="H104" s="3">
        <v>4</v>
      </c>
      <c r="I104" s="5">
        <f t="shared" si="6"/>
        <v>7.8125E-3</v>
      </c>
      <c r="J104" s="6">
        <f t="shared" si="11"/>
        <v>7812.5</v>
      </c>
      <c r="K104" s="7">
        <v>0.72</v>
      </c>
      <c r="L104" s="3">
        <v>398</v>
      </c>
      <c r="M104" s="3">
        <v>450</v>
      </c>
      <c r="N104" s="3">
        <v>52</v>
      </c>
      <c r="O104" s="5">
        <f t="shared" si="7"/>
        <v>0.88444444444444448</v>
      </c>
      <c r="P104" s="5">
        <f t="shared" si="8"/>
        <v>0.92623115577889448</v>
      </c>
      <c r="Q104" s="5">
        <f t="shared" si="9"/>
        <v>0.9921875</v>
      </c>
      <c r="R104" s="5">
        <f t="shared" si="10"/>
        <v>0.81280000000000008</v>
      </c>
    </row>
    <row r="105" spans="1:18" x14ac:dyDescent="0.25">
      <c r="A105" s="3">
        <v>101</v>
      </c>
      <c r="B105" s="4">
        <v>46210</v>
      </c>
      <c r="C105" s="3" t="s">
        <v>30</v>
      </c>
      <c r="D105" s="3" t="s">
        <v>21</v>
      </c>
      <c r="E105" s="3" t="s">
        <v>26</v>
      </c>
      <c r="F105" s="3">
        <v>323</v>
      </c>
      <c r="G105" s="3">
        <v>314</v>
      </c>
      <c r="H105" s="3">
        <v>9</v>
      </c>
      <c r="I105" s="5">
        <f t="shared" si="6"/>
        <v>2.7863777089783281E-2</v>
      </c>
      <c r="J105" s="6">
        <f t="shared" si="11"/>
        <v>27863.777089783282</v>
      </c>
      <c r="K105" s="7">
        <v>1.24</v>
      </c>
      <c r="L105" s="3">
        <v>435</v>
      </c>
      <c r="M105" s="3">
        <v>450</v>
      </c>
      <c r="N105" s="3">
        <v>15</v>
      </c>
      <c r="O105" s="5">
        <f t="shared" si="7"/>
        <v>0.96666666666666667</v>
      </c>
      <c r="P105" s="5">
        <f t="shared" si="8"/>
        <v>0.92073563218390797</v>
      </c>
      <c r="Q105" s="5">
        <f t="shared" si="9"/>
        <v>0.97213622291021673</v>
      </c>
      <c r="R105" s="5">
        <f t="shared" si="10"/>
        <v>0.86524444444444437</v>
      </c>
    </row>
    <row r="106" spans="1:18" x14ac:dyDescent="0.25">
      <c r="A106" s="3">
        <v>102</v>
      </c>
      <c r="B106" s="4">
        <v>46210</v>
      </c>
      <c r="C106" s="3" t="s">
        <v>30</v>
      </c>
      <c r="D106" s="3" t="s">
        <v>23</v>
      </c>
      <c r="E106" s="3" t="s">
        <v>29</v>
      </c>
      <c r="F106" s="3">
        <v>384</v>
      </c>
      <c r="G106" s="3">
        <v>371</v>
      </c>
      <c r="H106" s="3">
        <v>13</v>
      </c>
      <c r="I106" s="5">
        <f t="shared" si="6"/>
        <v>3.3854166666666664E-2</v>
      </c>
      <c r="J106" s="6">
        <f t="shared" si="11"/>
        <v>33854.166666666664</v>
      </c>
      <c r="K106" s="7">
        <v>1.03</v>
      </c>
      <c r="L106" s="3">
        <v>435</v>
      </c>
      <c r="M106" s="3">
        <v>450</v>
      </c>
      <c r="N106" s="3">
        <v>15</v>
      </c>
      <c r="O106" s="5">
        <f t="shared" si="7"/>
        <v>0.96666666666666667</v>
      </c>
      <c r="P106" s="5">
        <f t="shared" si="8"/>
        <v>0.90924137931034477</v>
      </c>
      <c r="Q106" s="5">
        <f t="shared" si="9"/>
        <v>0.96614583333333337</v>
      </c>
      <c r="R106" s="5">
        <f t="shared" si="10"/>
        <v>0.8491777777777777</v>
      </c>
    </row>
    <row r="107" spans="1:18" x14ac:dyDescent="0.25">
      <c r="A107" s="3">
        <v>103</v>
      </c>
      <c r="B107" s="4">
        <v>46210</v>
      </c>
      <c r="C107" s="3" t="s">
        <v>33</v>
      </c>
      <c r="D107" s="3" t="s">
        <v>19</v>
      </c>
      <c r="E107" s="3" t="s">
        <v>29</v>
      </c>
      <c r="F107" s="3">
        <v>254</v>
      </c>
      <c r="G107" s="3">
        <v>243</v>
      </c>
      <c r="H107" s="3">
        <v>11</v>
      </c>
      <c r="I107" s="5">
        <f t="shared" si="6"/>
        <v>4.3307086614173228E-2</v>
      </c>
      <c r="J107" s="6">
        <f t="shared" si="11"/>
        <v>43307.086614173226</v>
      </c>
      <c r="K107" s="7">
        <v>1.51</v>
      </c>
      <c r="L107" s="3">
        <v>414</v>
      </c>
      <c r="M107" s="3">
        <v>450</v>
      </c>
      <c r="N107" s="3">
        <v>36</v>
      </c>
      <c r="O107" s="5">
        <f t="shared" si="7"/>
        <v>0.92</v>
      </c>
      <c r="P107" s="5">
        <f t="shared" si="8"/>
        <v>0.92642512077294692</v>
      </c>
      <c r="Q107" s="5">
        <f t="shared" si="9"/>
        <v>0.95669291338582674</v>
      </c>
      <c r="R107" s="5">
        <f t="shared" si="10"/>
        <v>0.81540000000000012</v>
      </c>
    </row>
    <row r="108" spans="1:18" x14ac:dyDescent="0.25">
      <c r="A108" s="3">
        <v>104</v>
      </c>
      <c r="B108" s="4">
        <v>46210</v>
      </c>
      <c r="C108" s="3" t="s">
        <v>33</v>
      </c>
      <c r="D108" s="3" t="s">
        <v>21</v>
      </c>
      <c r="E108" s="3" t="s">
        <v>24</v>
      </c>
      <c r="F108" s="3">
        <v>645</v>
      </c>
      <c r="G108" s="3">
        <v>641</v>
      </c>
      <c r="H108" s="3">
        <v>4</v>
      </c>
      <c r="I108" s="5">
        <f t="shared" si="6"/>
        <v>6.2015503875968991E-3</v>
      </c>
      <c r="J108" s="6">
        <f t="shared" si="11"/>
        <v>6201.5503875968989</v>
      </c>
      <c r="K108" s="7">
        <v>0.52</v>
      </c>
      <c r="L108" s="3">
        <v>415</v>
      </c>
      <c r="M108" s="3">
        <v>450</v>
      </c>
      <c r="N108" s="3">
        <v>35</v>
      </c>
      <c r="O108" s="5">
        <f t="shared" si="7"/>
        <v>0.92222222222222228</v>
      </c>
      <c r="P108" s="5">
        <f t="shared" si="8"/>
        <v>0.8081927710843374</v>
      </c>
      <c r="Q108" s="5">
        <f t="shared" si="9"/>
        <v>0.99379844961240305</v>
      </c>
      <c r="R108" s="5">
        <f t="shared" si="10"/>
        <v>0.7407111111111111</v>
      </c>
    </row>
    <row r="109" spans="1:18" x14ac:dyDescent="0.25">
      <c r="A109" s="3">
        <v>105</v>
      </c>
      <c r="B109" s="4">
        <v>46210</v>
      </c>
      <c r="C109" s="3" t="s">
        <v>33</v>
      </c>
      <c r="D109" s="3" t="s">
        <v>23</v>
      </c>
      <c r="E109" s="3" t="s">
        <v>31</v>
      </c>
      <c r="F109" s="3">
        <v>300</v>
      </c>
      <c r="G109" s="3">
        <v>291</v>
      </c>
      <c r="H109" s="3">
        <v>9</v>
      </c>
      <c r="I109" s="5">
        <f t="shared" si="6"/>
        <v>0.03</v>
      </c>
      <c r="J109" s="6">
        <f t="shared" si="11"/>
        <v>30000</v>
      </c>
      <c r="K109" s="7">
        <v>1.3</v>
      </c>
      <c r="L109" s="3">
        <v>401</v>
      </c>
      <c r="M109" s="3">
        <v>450</v>
      </c>
      <c r="N109" s="3">
        <v>49</v>
      </c>
      <c r="O109" s="5">
        <f t="shared" si="7"/>
        <v>0.89111111111111108</v>
      </c>
      <c r="P109" s="5">
        <f t="shared" si="8"/>
        <v>0.972568578553616</v>
      </c>
      <c r="Q109" s="5">
        <f t="shared" si="9"/>
        <v>0.97</v>
      </c>
      <c r="R109" s="5">
        <f t="shared" si="10"/>
        <v>0.84066666666666667</v>
      </c>
    </row>
    <row r="110" spans="1:18" x14ac:dyDescent="0.25">
      <c r="A110" s="3">
        <v>106</v>
      </c>
      <c r="B110" s="4">
        <v>46211</v>
      </c>
      <c r="C110" s="3" t="s">
        <v>18</v>
      </c>
      <c r="D110" s="3" t="s">
        <v>19</v>
      </c>
      <c r="E110" s="3" t="s">
        <v>32</v>
      </c>
      <c r="F110" s="3">
        <v>508</v>
      </c>
      <c r="G110" s="3">
        <v>490</v>
      </c>
      <c r="H110" s="3">
        <v>18</v>
      </c>
      <c r="I110" s="5">
        <f t="shared" si="6"/>
        <v>3.5433070866141732E-2</v>
      </c>
      <c r="J110" s="6">
        <f t="shared" si="11"/>
        <v>35433.07086614173</v>
      </c>
      <c r="K110" s="7">
        <v>0.83</v>
      </c>
      <c r="L110" s="3">
        <v>420</v>
      </c>
      <c r="M110" s="3">
        <v>450</v>
      </c>
      <c r="N110" s="3">
        <v>30</v>
      </c>
      <c r="O110" s="5">
        <f t="shared" si="7"/>
        <v>0.93333333333333335</v>
      </c>
      <c r="P110" s="5">
        <f t="shared" si="8"/>
        <v>1.0039047619047619</v>
      </c>
      <c r="Q110" s="5">
        <f t="shared" si="9"/>
        <v>0.96456692913385822</v>
      </c>
      <c r="R110" s="5">
        <f t="shared" si="10"/>
        <v>0.90377777777777779</v>
      </c>
    </row>
    <row r="111" spans="1:18" x14ac:dyDescent="0.25">
      <c r="A111" s="3">
        <v>107</v>
      </c>
      <c r="B111" s="4">
        <v>46211</v>
      </c>
      <c r="C111" s="3" t="s">
        <v>18</v>
      </c>
      <c r="D111" s="3" t="s">
        <v>21</v>
      </c>
      <c r="E111" s="3" t="s">
        <v>31</v>
      </c>
      <c r="F111" s="3">
        <v>460</v>
      </c>
      <c r="G111" s="3">
        <v>456</v>
      </c>
      <c r="H111" s="3">
        <v>4</v>
      </c>
      <c r="I111" s="5">
        <f t="shared" si="6"/>
        <v>8.6956521739130436E-3</v>
      </c>
      <c r="J111" s="6">
        <f t="shared" si="11"/>
        <v>8695.652173913044</v>
      </c>
      <c r="K111" s="7">
        <v>0.74</v>
      </c>
      <c r="L111" s="3">
        <v>397</v>
      </c>
      <c r="M111" s="3">
        <v>450</v>
      </c>
      <c r="N111" s="3">
        <v>53</v>
      </c>
      <c r="O111" s="5">
        <f t="shared" si="7"/>
        <v>0.88222222222222224</v>
      </c>
      <c r="P111" s="5">
        <f t="shared" si="8"/>
        <v>0.85743073047858931</v>
      </c>
      <c r="Q111" s="5">
        <f t="shared" si="9"/>
        <v>0.99130434782608701</v>
      </c>
      <c r="R111" s="5">
        <f t="shared" si="10"/>
        <v>0.74986666666666657</v>
      </c>
    </row>
    <row r="112" spans="1:18" x14ac:dyDescent="0.25">
      <c r="A112" s="3">
        <v>108</v>
      </c>
      <c r="B112" s="4">
        <v>46211</v>
      </c>
      <c r="C112" s="3" t="s">
        <v>18</v>
      </c>
      <c r="D112" s="3" t="s">
        <v>23</v>
      </c>
      <c r="E112" s="3" t="s">
        <v>32</v>
      </c>
      <c r="F112" s="3">
        <v>765</v>
      </c>
      <c r="G112" s="3">
        <v>749</v>
      </c>
      <c r="H112" s="3">
        <v>16</v>
      </c>
      <c r="I112" s="5">
        <f t="shared" si="6"/>
        <v>2.0915032679738561E-2</v>
      </c>
      <c r="J112" s="6">
        <f t="shared" si="11"/>
        <v>20915.032679738561</v>
      </c>
      <c r="K112" s="7">
        <v>0.56000000000000005</v>
      </c>
      <c r="L112" s="3">
        <v>423</v>
      </c>
      <c r="M112" s="3">
        <v>450</v>
      </c>
      <c r="N112" s="3">
        <v>27</v>
      </c>
      <c r="O112" s="5">
        <f t="shared" si="7"/>
        <v>0.94</v>
      </c>
      <c r="P112" s="5">
        <f t="shared" si="8"/>
        <v>1.0127659574468086</v>
      </c>
      <c r="Q112" s="5">
        <f t="shared" si="9"/>
        <v>0.9790849673202614</v>
      </c>
      <c r="R112" s="5">
        <f t="shared" si="10"/>
        <v>0.93208888888888897</v>
      </c>
    </row>
    <row r="113" spans="1:18" x14ac:dyDescent="0.25">
      <c r="A113" s="3">
        <v>109</v>
      </c>
      <c r="B113" s="4">
        <v>46211</v>
      </c>
      <c r="C113" s="3" t="s">
        <v>25</v>
      </c>
      <c r="D113" s="3" t="s">
        <v>19</v>
      </c>
      <c r="E113" s="3" t="s">
        <v>35</v>
      </c>
      <c r="F113" s="3">
        <v>441</v>
      </c>
      <c r="G113" s="3">
        <v>422</v>
      </c>
      <c r="H113" s="3">
        <v>19</v>
      </c>
      <c r="I113" s="5">
        <f t="shared" si="6"/>
        <v>4.3083900226757371E-2</v>
      </c>
      <c r="J113" s="6">
        <f t="shared" si="11"/>
        <v>43083.900226757374</v>
      </c>
      <c r="K113" s="7">
        <v>0.91</v>
      </c>
      <c r="L113" s="3">
        <v>438</v>
      </c>
      <c r="M113" s="3">
        <v>450</v>
      </c>
      <c r="N113" s="3">
        <v>12</v>
      </c>
      <c r="O113" s="5">
        <f t="shared" si="7"/>
        <v>0.97333333333333338</v>
      </c>
      <c r="P113" s="5">
        <f t="shared" si="8"/>
        <v>0.91623287671232878</v>
      </c>
      <c r="Q113" s="5">
        <f t="shared" si="9"/>
        <v>0.95691609977324266</v>
      </c>
      <c r="R113" s="5">
        <f t="shared" si="10"/>
        <v>0.85337777777777779</v>
      </c>
    </row>
    <row r="114" spans="1:18" x14ac:dyDescent="0.25">
      <c r="A114" s="3">
        <v>110</v>
      </c>
      <c r="B114" s="4">
        <v>46211</v>
      </c>
      <c r="C114" s="3" t="s">
        <v>25</v>
      </c>
      <c r="D114" s="3" t="s">
        <v>21</v>
      </c>
      <c r="E114" s="3" t="s">
        <v>26</v>
      </c>
      <c r="F114" s="3">
        <v>243</v>
      </c>
      <c r="G114" s="3">
        <v>238</v>
      </c>
      <c r="H114" s="3">
        <v>5</v>
      </c>
      <c r="I114" s="5">
        <f t="shared" si="6"/>
        <v>2.0576131687242798E-2</v>
      </c>
      <c r="J114" s="6">
        <f t="shared" si="11"/>
        <v>20576.1316872428</v>
      </c>
      <c r="K114" s="7">
        <v>1.48</v>
      </c>
      <c r="L114" s="3">
        <v>401</v>
      </c>
      <c r="M114" s="3">
        <v>450</v>
      </c>
      <c r="N114" s="3">
        <v>49</v>
      </c>
      <c r="O114" s="5">
        <f t="shared" si="7"/>
        <v>0.89111111111111108</v>
      </c>
      <c r="P114" s="5">
        <f t="shared" si="8"/>
        <v>0.89685785536159601</v>
      </c>
      <c r="Q114" s="5">
        <f t="shared" si="9"/>
        <v>0.97942386831275718</v>
      </c>
      <c r="R114" s="5">
        <f t="shared" si="10"/>
        <v>0.78275555555555554</v>
      </c>
    </row>
    <row r="115" spans="1:18" x14ac:dyDescent="0.25">
      <c r="A115" s="3">
        <v>111</v>
      </c>
      <c r="B115" s="4">
        <v>46211</v>
      </c>
      <c r="C115" s="3" t="s">
        <v>25</v>
      </c>
      <c r="D115" s="3" t="s">
        <v>23</v>
      </c>
      <c r="E115" s="3" t="s">
        <v>27</v>
      </c>
      <c r="F115" s="3">
        <v>254</v>
      </c>
      <c r="G115" s="3">
        <v>252</v>
      </c>
      <c r="H115" s="3">
        <v>2</v>
      </c>
      <c r="I115" s="5">
        <f t="shared" si="6"/>
        <v>7.874015748031496E-3</v>
      </c>
      <c r="J115" s="6">
        <f t="shared" si="11"/>
        <v>7874.0157480314956</v>
      </c>
      <c r="K115" s="7">
        <v>1.78</v>
      </c>
      <c r="L115" s="3">
        <v>445</v>
      </c>
      <c r="M115" s="3">
        <v>450</v>
      </c>
      <c r="N115" s="3">
        <v>5</v>
      </c>
      <c r="O115" s="5">
        <f t="shared" si="7"/>
        <v>0.98888888888888893</v>
      </c>
      <c r="P115" s="5">
        <f t="shared" si="8"/>
        <v>1.016</v>
      </c>
      <c r="Q115" s="5">
        <f t="shared" si="9"/>
        <v>0.99212598425196852</v>
      </c>
      <c r="R115" s="5">
        <f t="shared" si="10"/>
        <v>0.99680000000000002</v>
      </c>
    </row>
    <row r="116" spans="1:18" x14ac:dyDescent="0.25">
      <c r="A116" s="3">
        <v>112</v>
      </c>
      <c r="B116" s="4">
        <v>46211</v>
      </c>
      <c r="C116" s="3" t="s">
        <v>28</v>
      </c>
      <c r="D116" s="3" t="s">
        <v>19</v>
      </c>
      <c r="E116" s="3" t="s">
        <v>29</v>
      </c>
      <c r="F116" s="3">
        <v>238</v>
      </c>
      <c r="G116" s="3">
        <v>236</v>
      </c>
      <c r="H116" s="3">
        <v>2</v>
      </c>
      <c r="I116" s="5">
        <f t="shared" si="6"/>
        <v>8.4033613445378148E-3</v>
      </c>
      <c r="J116" s="6">
        <f t="shared" si="11"/>
        <v>8403.3613445378141</v>
      </c>
      <c r="K116" s="7">
        <v>1.58</v>
      </c>
      <c r="L116" s="3">
        <v>402</v>
      </c>
      <c r="M116" s="3">
        <v>450</v>
      </c>
      <c r="N116" s="3">
        <v>48</v>
      </c>
      <c r="O116" s="5">
        <f t="shared" si="7"/>
        <v>0.89333333333333331</v>
      </c>
      <c r="P116" s="5">
        <f t="shared" si="8"/>
        <v>0.93542288557213937</v>
      </c>
      <c r="Q116" s="5">
        <f t="shared" si="9"/>
        <v>0.99159663865546221</v>
      </c>
      <c r="R116" s="5">
        <f t="shared" si="10"/>
        <v>0.82862222222222237</v>
      </c>
    </row>
    <row r="117" spans="1:18" x14ac:dyDescent="0.25">
      <c r="A117" s="3">
        <v>113</v>
      </c>
      <c r="B117" s="4">
        <v>46211</v>
      </c>
      <c r="C117" s="3" t="s">
        <v>28</v>
      </c>
      <c r="D117" s="3" t="s">
        <v>21</v>
      </c>
      <c r="E117" s="3" t="s">
        <v>34</v>
      </c>
      <c r="F117" s="3">
        <v>289</v>
      </c>
      <c r="G117" s="3">
        <v>283</v>
      </c>
      <c r="H117" s="3">
        <v>6</v>
      </c>
      <c r="I117" s="5">
        <f t="shared" si="6"/>
        <v>2.0761245674740483E-2</v>
      </c>
      <c r="J117" s="6">
        <f t="shared" si="11"/>
        <v>20761.245674740483</v>
      </c>
      <c r="K117" s="7">
        <v>1.2</v>
      </c>
      <c r="L117" s="3">
        <v>444</v>
      </c>
      <c r="M117" s="3">
        <v>450</v>
      </c>
      <c r="N117" s="3">
        <v>6</v>
      </c>
      <c r="O117" s="5">
        <f t="shared" si="7"/>
        <v>0.98666666666666669</v>
      </c>
      <c r="P117" s="5">
        <f t="shared" si="8"/>
        <v>0.7810810810810811</v>
      </c>
      <c r="Q117" s="5">
        <f t="shared" si="9"/>
        <v>0.97923875432525953</v>
      </c>
      <c r="R117" s="5">
        <f t="shared" si="10"/>
        <v>0.75466666666666671</v>
      </c>
    </row>
    <row r="118" spans="1:18" x14ac:dyDescent="0.25">
      <c r="A118" s="3">
        <v>114</v>
      </c>
      <c r="B118" s="4">
        <v>46211</v>
      </c>
      <c r="C118" s="3" t="s">
        <v>28</v>
      </c>
      <c r="D118" s="3" t="s">
        <v>23</v>
      </c>
      <c r="E118" s="3" t="s">
        <v>20</v>
      </c>
      <c r="F118" s="3">
        <v>222</v>
      </c>
      <c r="G118" s="3">
        <v>217</v>
      </c>
      <c r="H118" s="3">
        <v>5</v>
      </c>
      <c r="I118" s="5">
        <f t="shared" si="6"/>
        <v>2.2522522522522521E-2</v>
      </c>
      <c r="J118" s="6">
        <f t="shared" si="11"/>
        <v>22522.522522522522</v>
      </c>
      <c r="K118" s="7">
        <v>1.55</v>
      </c>
      <c r="L118" s="3">
        <v>404</v>
      </c>
      <c r="M118" s="3">
        <v>450</v>
      </c>
      <c r="N118" s="3">
        <v>46</v>
      </c>
      <c r="O118" s="5">
        <f t="shared" si="7"/>
        <v>0.89777777777777779</v>
      </c>
      <c r="P118" s="5">
        <f t="shared" si="8"/>
        <v>0.85173267326732682</v>
      </c>
      <c r="Q118" s="5">
        <f t="shared" si="9"/>
        <v>0.97747747747747749</v>
      </c>
      <c r="R118" s="5">
        <f t="shared" si="10"/>
        <v>0.74744444444444447</v>
      </c>
    </row>
    <row r="119" spans="1:18" x14ac:dyDescent="0.25">
      <c r="A119" s="3">
        <v>115</v>
      </c>
      <c r="B119" s="4">
        <v>46211</v>
      </c>
      <c r="C119" s="3" t="s">
        <v>30</v>
      </c>
      <c r="D119" s="3" t="s">
        <v>19</v>
      </c>
      <c r="E119" s="3" t="s">
        <v>22</v>
      </c>
      <c r="F119" s="3">
        <v>453</v>
      </c>
      <c r="G119" s="3">
        <v>437</v>
      </c>
      <c r="H119" s="3">
        <v>16</v>
      </c>
      <c r="I119" s="5">
        <f t="shared" si="6"/>
        <v>3.5320088300220751E-2</v>
      </c>
      <c r="J119" s="6">
        <f t="shared" si="11"/>
        <v>35320.088300220748</v>
      </c>
      <c r="K119" s="7">
        <v>0.99</v>
      </c>
      <c r="L119" s="3">
        <v>445</v>
      </c>
      <c r="M119" s="3">
        <v>450</v>
      </c>
      <c r="N119" s="3">
        <v>5</v>
      </c>
      <c r="O119" s="5">
        <f t="shared" si="7"/>
        <v>0.98888888888888893</v>
      </c>
      <c r="P119" s="5">
        <f t="shared" si="8"/>
        <v>1.0077977528089888</v>
      </c>
      <c r="Q119" s="5">
        <f t="shared" si="9"/>
        <v>0.96467991169977929</v>
      </c>
      <c r="R119" s="5">
        <f t="shared" si="10"/>
        <v>0.96140000000000003</v>
      </c>
    </row>
    <row r="120" spans="1:18" x14ac:dyDescent="0.25">
      <c r="A120" s="3">
        <v>116</v>
      </c>
      <c r="B120" s="4">
        <v>46211</v>
      </c>
      <c r="C120" s="3" t="s">
        <v>30</v>
      </c>
      <c r="D120" s="3" t="s">
        <v>21</v>
      </c>
      <c r="E120" s="3" t="s">
        <v>20</v>
      </c>
      <c r="F120" s="3">
        <v>861</v>
      </c>
      <c r="G120" s="3">
        <v>827</v>
      </c>
      <c r="H120" s="3">
        <v>34</v>
      </c>
      <c r="I120" s="5">
        <f t="shared" si="6"/>
        <v>3.9488966318234613E-2</v>
      </c>
      <c r="J120" s="6">
        <f t="shared" si="11"/>
        <v>39488.966318234612</v>
      </c>
      <c r="K120" s="7">
        <v>0.51</v>
      </c>
      <c r="L120" s="3">
        <v>427</v>
      </c>
      <c r="M120" s="3">
        <v>450</v>
      </c>
      <c r="N120" s="3">
        <v>23</v>
      </c>
      <c r="O120" s="5">
        <f t="shared" si="7"/>
        <v>0.94888888888888889</v>
      </c>
      <c r="P120" s="5">
        <f t="shared" si="8"/>
        <v>1.028360655737705</v>
      </c>
      <c r="Q120" s="5">
        <f t="shared" si="9"/>
        <v>0.96051103368176538</v>
      </c>
      <c r="R120" s="5">
        <f t="shared" si="10"/>
        <v>0.93726666666666669</v>
      </c>
    </row>
    <row r="121" spans="1:18" x14ac:dyDescent="0.25">
      <c r="A121" s="3">
        <v>117</v>
      </c>
      <c r="B121" s="4">
        <v>46211</v>
      </c>
      <c r="C121" s="3" t="s">
        <v>30</v>
      </c>
      <c r="D121" s="3" t="s">
        <v>23</v>
      </c>
      <c r="E121" s="3" t="s">
        <v>27</v>
      </c>
      <c r="F121" s="3">
        <v>422</v>
      </c>
      <c r="G121" s="3">
        <v>403</v>
      </c>
      <c r="H121" s="3">
        <v>19</v>
      </c>
      <c r="I121" s="5">
        <f t="shared" si="6"/>
        <v>4.5023696682464455E-2</v>
      </c>
      <c r="J121" s="6">
        <f t="shared" si="11"/>
        <v>45023.696682464455</v>
      </c>
      <c r="K121" s="7">
        <v>0.76</v>
      </c>
      <c r="L121" s="3">
        <v>398</v>
      </c>
      <c r="M121" s="3">
        <v>450</v>
      </c>
      <c r="N121" s="3">
        <v>52</v>
      </c>
      <c r="O121" s="5">
        <f t="shared" si="7"/>
        <v>0.88444444444444448</v>
      </c>
      <c r="P121" s="5">
        <f t="shared" si="8"/>
        <v>0.80582914572864328</v>
      </c>
      <c r="Q121" s="5">
        <f t="shared" si="9"/>
        <v>0.95497630331753558</v>
      </c>
      <c r="R121" s="5">
        <f t="shared" si="10"/>
        <v>0.68062222222222235</v>
      </c>
    </row>
    <row r="122" spans="1:18" x14ac:dyDescent="0.25">
      <c r="A122" s="3">
        <v>118</v>
      </c>
      <c r="B122" s="4">
        <v>46211</v>
      </c>
      <c r="C122" s="3" t="s">
        <v>33</v>
      </c>
      <c r="D122" s="3" t="s">
        <v>19</v>
      </c>
      <c r="E122" s="3" t="s">
        <v>27</v>
      </c>
      <c r="F122" s="3">
        <v>281</v>
      </c>
      <c r="G122" s="3">
        <v>279</v>
      </c>
      <c r="H122" s="3">
        <v>2</v>
      </c>
      <c r="I122" s="5">
        <f t="shared" si="6"/>
        <v>7.1174377224199285E-3</v>
      </c>
      <c r="J122" s="6">
        <f t="shared" si="11"/>
        <v>7117.4377224199288</v>
      </c>
      <c r="K122" s="7">
        <v>1.32</v>
      </c>
      <c r="L122" s="3">
        <v>394</v>
      </c>
      <c r="M122" s="3">
        <v>450</v>
      </c>
      <c r="N122" s="3">
        <v>56</v>
      </c>
      <c r="O122" s="5">
        <f t="shared" si="7"/>
        <v>0.87555555555555553</v>
      </c>
      <c r="P122" s="5">
        <f t="shared" si="8"/>
        <v>0.94142131979695431</v>
      </c>
      <c r="Q122" s="5">
        <f t="shared" si="9"/>
        <v>0.99288256227758009</v>
      </c>
      <c r="R122" s="5">
        <f t="shared" si="10"/>
        <v>0.81839999999999991</v>
      </c>
    </row>
    <row r="123" spans="1:18" x14ac:dyDescent="0.25">
      <c r="A123" s="3">
        <v>119</v>
      </c>
      <c r="B123" s="4">
        <v>46211</v>
      </c>
      <c r="C123" s="3" t="s">
        <v>33</v>
      </c>
      <c r="D123" s="3" t="s">
        <v>21</v>
      </c>
      <c r="E123" s="3" t="s">
        <v>32</v>
      </c>
      <c r="F123" s="3">
        <v>200</v>
      </c>
      <c r="G123" s="3">
        <v>198</v>
      </c>
      <c r="H123" s="3">
        <v>2</v>
      </c>
      <c r="I123" s="5">
        <f t="shared" si="6"/>
        <v>0.01</v>
      </c>
      <c r="J123" s="6">
        <f t="shared" si="11"/>
        <v>10000</v>
      </c>
      <c r="K123" s="7">
        <v>1.65</v>
      </c>
      <c r="L123" s="3">
        <v>393</v>
      </c>
      <c r="M123" s="3">
        <v>450</v>
      </c>
      <c r="N123" s="3">
        <v>57</v>
      </c>
      <c r="O123" s="5">
        <f t="shared" si="7"/>
        <v>0.87333333333333329</v>
      </c>
      <c r="P123" s="5">
        <f t="shared" si="8"/>
        <v>0.83969465648854957</v>
      </c>
      <c r="Q123" s="5">
        <f t="shared" si="9"/>
        <v>0.99</v>
      </c>
      <c r="R123" s="5">
        <f t="shared" si="10"/>
        <v>0.72599999999999998</v>
      </c>
    </row>
    <row r="124" spans="1:18" x14ac:dyDescent="0.25">
      <c r="A124" s="3">
        <v>120</v>
      </c>
      <c r="B124" s="4">
        <v>46211</v>
      </c>
      <c r="C124" s="3" t="s">
        <v>33</v>
      </c>
      <c r="D124" s="3" t="s">
        <v>23</v>
      </c>
      <c r="E124" s="3" t="s">
        <v>31</v>
      </c>
      <c r="F124" s="3">
        <v>248</v>
      </c>
      <c r="G124" s="3">
        <v>238</v>
      </c>
      <c r="H124" s="3">
        <v>10</v>
      </c>
      <c r="I124" s="5">
        <f t="shared" si="6"/>
        <v>4.0322580645161289E-2</v>
      </c>
      <c r="J124" s="6">
        <f t="shared" si="11"/>
        <v>40322.580645161288</v>
      </c>
      <c r="K124" s="7">
        <v>1.48</v>
      </c>
      <c r="L124" s="3">
        <v>444</v>
      </c>
      <c r="M124" s="3">
        <v>450</v>
      </c>
      <c r="N124" s="3">
        <v>6</v>
      </c>
      <c r="O124" s="5">
        <f t="shared" si="7"/>
        <v>0.98666666666666669</v>
      </c>
      <c r="P124" s="5">
        <f t="shared" si="8"/>
        <v>0.82666666666666666</v>
      </c>
      <c r="Q124" s="5">
        <f t="shared" si="9"/>
        <v>0.95967741935483875</v>
      </c>
      <c r="R124" s="5">
        <f t="shared" si="10"/>
        <v>0.78275555555555565</v>
      </c>
    </row>
    <row r="125" spans="1:18" x14ac:dyDescent="0.25">
      <c r="A125" s="3">
        <v>121</v>
      </c>
      <c r="B125" s="4">
        <v>46212</v>
      </c>
      <c r="C125" s="3" t="s">
        <v>18</v>
      </c>
      <c r="D125" s="3" t="s">
        <v>19</v>
      </c>
      <c r="E125" s="3" t="s">
        <v>20</v>
      </c>
      <c r="F125" s="3">
        <v>234</v>
      </c>
      <c r="G125" s="3">
        <v>233</v>
      </c>
      <c r="H125" s="3">
        <v>1</v>
      </c>
      <c r="I125" s="5">
        <f t="shared" si="6"/>
        <v>4.2735042735042739E-3</v>
      </c>
      <c r="J125" s="6">
        <f t="shared" si="11"/>
        <v>4273.5042735042744</v>
      </c>
      <c r="K125" s="7">
        <v>1.3</v>
      </c>
      <c r="L125" s="3">
        <v>390</v>
      </c>
      <c r="M125" s="3">
        <v>450</v>
      </c>
      <c r="N125" s="3">
        <v>60</v>
      </c>
      <c r="O125" s="5">
        <f t="shared" si="7"/>
        <v>0.8666666666666667</v>
      </c>
      <c r="P125" s="5">
        <f t="shared" si="8"/>
        <v>0.77999999999999992</v>
      </c>
      <c r="Q125" s="5">
        <f t="shared" si="9"/>
        <v>0.99572649572649574</v>
      </c>
      <c r="R125" s="5">
        <f t="shared" si="10"/>
        <v>0.6731111111111111</v>
      </c>
    </row>
    <row r="126" spans="1:18" x14ac:dyDescent="0.25">
      <c r="A126" s="3">
        <v>122</v>
      </c>
      <c r="B126" s="4">
        <v>46212</v>
      </c>
      <c r="C126" s="3" t="s">
        <v>18</v>
      </c>
      <c r="D126" s="3" t="s">
        <v>21</v>
      </c>
      <c r="E126" s="3" t="s">
        <v>32</v>
      </c>
      <c r="F126" s="3">
        <v>353</v>
      </c>
      <c r="G126" s="3">
        <v>348</v>
      </c>
      <c r="H126" s="3">
        <v>5</v>
      </c>
      <c r="I126" s="5">
        <f t="shared" si="6"/>
        <v>1.4164305949008499E-2</v>
      </c>
      <c r="J126" s="6">
        <f t="shared" si="11"/>
        <v>14164.305949008498</v>
      </c>
      <c r="K126" s="7">
        <v>1.23</v>
      </c>
      <c r="L126" s="3">
        <v>443</v>
      </c>
      <c r="M126" s="3">
        <v>450</v>
      </c>
      <c r="N126" s="3">
        <v>7</v>
      </c>
      <c r="O126" s="5">
        <f t="shared" si="7"/>
        <v>0.98444444444444446</v>
      </c>
      <c r="P126" s="5">
        <f t="shared" si="8"/>
        <v>0.9801128668171557</v>
      </c>
      <c r="Q126" s="5">
        <f t="shared" si="9"/>
        <v>0.98583569405099147</v>
      </c>
      <c r="R126" s="5">
        <f t="shared" si="10"/>
        <v>0.95119999999999993</v>
      </c>
    </row>
    <row r="127" spans="1:18" x14ac:dyDescent="0.25">
      <c r="A127" s="3">
        <v>123</v>
      </c>
      <c r="B127" s="4">
        <v>46212</v>
      </c>
      <c r="C127" s="3" t="s">
        <v>18</v>
      </c>
      <c r="D127" s="3" t="s">
        <v>23</v>
      </c>
      <c r="E127" s="3" t="s">
        <v>32</v>
      </c>
      <c r="F127" s="3">
        <v>267</v>
      </c>
      <c r="G127" s="3">
        <v>256</v>
      </c>
      <c r="H127" s="3">
        <v>11</v>
      </c>
      <c r="I127" s="5">
        <f t="shared" si="6"/>
        <v>4.1198501872659173E-2</v>
      </c>
      <c r="J127" s="6">
        <f t="shared" si="11"/>
        <v>41198.501872659173</v>
      </c>
      <c r="K127" s="7">
        <v>1.58</v>
      </c>
      <c r="L127" s="3">
        <v>431</v>
      </c>
      <c r="M127" s="3">
        <v>450</v>
      </c>
      <c r="N127" s="3">
        <v>19</v>
      </c>
      <c r="O127" s="5">
        <f t="shared" si="7"/>
        <v>0.95777777777777773</v>
      </c>
      <c r="P127" s="5">
        <f t="shared" si="8"/>
        <v>0.97879350348027849</v>
      </c>
      <c r="Q127" s="5">
        <f t="shared" si="9"/>
        <v>0.95880149812734083</v>
      </c>
      <c r="R127" s="5">
        <f t="shared" si="10"/>
        <v>0.89884444444444445</v>
      </c>
    </row>
    <row r="128" spans="1:18" x14ac:dyDescent="0.25">
      <c r="A128" s="3">
        <v>124</v>
      </c>
      <c r="B128" s="4">
        <v>46212</v>
      </c>
      <c r="C128" s="3" t="s">
        <v>25</v>
      </c>
      <c r="D128" s="3" t="s">
        <v>19</v>
      </c>
      <c r="E128" s="3" t="s">
        <v>31</v>
      </c>
      <c r="F128" s="3">
        <v>287</v>
      </c>
      <c r="G128" s="3">
        <v>276</v>
      </c>
      <c r="H128" s="3">
        <v>11</v>
      </c>
      <c r="I128" s="5">
        <f t="shared" si="6"/>
        <v>3.8327526132404179E-2</v>
      </c>
      <c r="J128" s="6">
        <f t="shared" si="11"/>
        <v>38327.526132404178</v>
      </c>
      <c r="K128" s="7">
        <v>1.47</v>
      </c>
      <c r="L128" s="3">
        <v>442</v>
      </c>
      <c r="M128" s="3">
        <v>450</v>
      </c>
      <c r="N128" s="3">
        <v>8</v>
      </c>
      <c r="O128" s="5">
        <f t="shared" si="7"/>
        <v>0.98222222222222222</v>
      </c>
      <c r="P128" s="5">
        <f t="shared" si="8"/>
        <v>0.95450226244343883</v>
      </c>
      <c r="Q128" s="5">
        <f t="shared" si="9"/>
        <v>0.9616724738675958</v>
      </c>
      <c r="R128" s="5">
        <f t="shared" si="10"/>
        <v>0.90159999999999985</v>
      </c>
    </row>
    <row r="129" spans="1:18" x14ac:dyDescent="0.25">
      <c r="A129" s="3">
        <v>125</v>
      </c>
      <c r="B129" s="4">
        <v>46212</v>
      </c>
      <c r="C129" s="3" t="s">
        <v>25</v>
      </c>
      <c r="D129" s="3" t="s">
        <v>21</v>
      </c>
      <c r="E129" s="3" t="s">
        <v>34</v>
      </c>
      <c r="F129" s="3">
        <v>827</v>
      </c>
      <c r="G129" s="3">
        <v>807</v>
      </c>
      <c r="H129" s="3">
        <v>20</v>
      </c>
      <c r="I129" s="5">
        <f t="shared" si="6"/>
        <v>2.4183796856106408E-2</v>
      </c>
      <c r="J129" s="6">
        <f t="shared" si="11"/>
        <v>24183.796856106408</v>
      </c>
      <c r="K129" s="7">
        <v>0.41</v>
      </c>
      <c r="L129" s="3">
        <v>418</v>
      </c>
      <c r="M129" s="3">
        <v>450</v>
      </c>
      <c r="N129" s="3">
        <v>32</v>
      </c>
      <c r="O129" s="5">
        <f t="shared" si="7"/>
        <v>0.92888888888888888</v>
      </c>
      <c r="P129" s="5">
        <f t="shared" si="8"/>
        <v>0.81117224880382777</v>
      </c>
      <c r="Q129" s="5">
        <f t="shared" si="9"/>
        <v>0.97581620314389361</v>
      </c>
      <c r="R129" s="5">
        <f t="shared" si="10"/>
        <v>0.73526666666666662</v>
      </c>
    </row>
    <row r="130" spans="1:18" x14ac:dyDescent="0.25">
      <c r="A130" s="3">
        <v>126</v>
      </c>
      <c r="B130" s="4">
        <v>46212</v>
      </c>
      <c r="C130" s="3" t="s">
        <v>25</v>
      </c>
      <c r="D130" s="3" t="s">
        <v>23</v>
      </c>
      <c r="E130" s="3" t="s">
        <v>29</v>
      </c>
      <c r="F130" s="3">
        <v>283</v>
      </c>
      <c r="G130" s="3">
        <v>272</v>
      </c>
      <c r="H130" s="3">
        <v>11</v>
      </c>
      <c r="I130" s="5">
        <f t="shared" si="6"/>
        <v>3.8869257950530034E-2</v>
      </c>
      <c r="J130" s="6">
        <f t="shared" si="11"/>
        <v>38869.257950530031</v>
      </c>
      <c r="K130" s="7">
        <v>1.43</v>
      </c>
      <c r="L130" s="3">
        <v>433</v>
      </c>
      <c r="M130" s="3">
        <v>450</v>
      </c>
      <c r="N130" s="3">
        <v>17</v>
      </c>
      <c r="O130" s="5">
        <f t="shared" si="7"/>
        <v>0.9622222222222222</v>
      </c>
      <c r="P130" s="5">
        <f t="shared" si="8"/>
        <v>0.93461893764434179</v>
      </c>
      <c r="Q130" s="5">
        <f t="shared" si="9"/>
        <v>0.96113074204946991</v>
      </c>
      <c r="R130" s="5">
        <f t="shared" si="10"/>
        <v>0.86435555555555543</v>
      </c>
    </row>
    <row r="131" spans="1:18" x14ac:dyDescent="0.25">
      <c r="A131" s="3">
        <v>127</v>
      </c>
      <c r="B131" s="4">
        <v>46212</v>
      </c>
      <c r="C131" s="3" t="s">
        <v>28</v>
      </c>
      <c r="D131" s="3" t="s">
        <v>19</v>
      </c>
      <c r="E131" s="3" t="s">
        <v>24</v>
      </c>
      <c r="F131" s="3">
        <v>565</v>
      </c>
      <c r="G131" s="3">
        <v>557</v>
      </c>
      <c r="H131" s="3">
        <v>8</v>
      </c>
      <c r="I131" s="5">
        <f t="shared" si="6"/>
        <v>1.415929203539823E-2</v>
      </c>
      <c r="J131" s="6">
        <f t="shared" si="11"/>
        <v>14159.29203539823</v>
      </c>
      <c r="K131" s="7">
        <v>0.57999999999999996</v>
      </c>
      <c r="L131" s="3">
        <v>396</v>
      </c>
      <c r="M131" s="3">
        <v>450</v>
      </c>
      <c r="N131" s="3">
        <v>54</v>
      </c>
      <c r="O131" s="5">
        <f t="shared" si="7"/>
        <v>0.88</v>
      </c>
      <c r="P131" s="5">
        <f t="shared" si="8"/>
        <v>0.82752525252525244</v>
      </c>
      <c r="Q131" s="5">
        <f t="shared" si="9"/>
        <v>0.98584070796460177</v>
      </c>
      <c r="R131" s="5">
        <f t="shared" si="10"/>
        <v>0.71791111111111094</v>
      </c>
    </row>
    <row r="132" spans="1:18" x14ac:dyDescent="0.25">
      <c r="A132" s="3">
        <v>128</v>
      </c>
      <c r="B132" s="4">
        <v>46212</v>
      </c>
      <c r="C132" s="3" t="s">
        <v>28</v>
      </c>
      <c r="D132" s="3" t="s">
        <v>21</v>
      </c>
      <c r="E132" s="3" t="s">
        <v>29</v>
      </c>
      <c r="F132" s="3">
        <v>297</v>
      </c>
      <c r="G132" s="3">
        <v>288</v>
      </c>
      <c r="H132" s="3">
        <v>9</v>
      </c>
      <c r="I132" s="5">
        <f t="shared" si="6"/>
        <v>3.0303030303030304E-2</v>
      </c>
      <c r="J132" s="6">
        <f t="shared" si="11"/>
        <v>30303.030303030304</v>
      </c>
      <c r="K132" s="7">
        <v>1.38</v>
      </c>
      <c r="L132" s="3">
        <v>401</v>
      </c>
      <c r="M132" s="3">
        <v>450</v>
      </c>
      <c r="N132" s="3">
        <v>49</v>
      </c>
      <c r="O132" s="5">
        <f t="shared" si="7"/>
        <v>0.89111111111111108</v>
      </c>
      <c r="P132" s="5">
        <f t="shared" si="8"/>
        <v>1.0220947630922692</v>
      </c>
      <c r="Q132" s="5">
        <f t="shared" si="9"/>
        <v>0.96969696969696972</v>
      </c>
      <c r="R132" s="5">
        <f t="shared" si="10"/>
        <v>0.88319999999999987</v>
      </c>
    </row>
    <row r="133" spans="1:18" x14ac:dyDescent="0.25">
      <c r="A133" s="3">
        <v>129</v>
      </c>
      <c r="B133" s="4">
        <v>46212</v>
      </c>
      <c r="C133" s="3" t="s">
        <v>28</v>
      </c>
      <c r="D133" s="3" t="s">
        <v>23</v>
      </c>
      <c r="E133" s="3" t="s">
        <v>22</v>
      </c>
      <c r="F133" s="3">
        <v>810</v>
      </c>
      <c r="G133" s="3">
        <v>777</v>
      </c>
      <c r="H133" s="3">
        <v>33</v>
      </c>
      <c r="I133" s="5">
        <f t="shared" ref="I133:I196" si="12">IFERROR(H133/F133,0)</f>
        <v>4.0740740740740744E-2</v>
      </c>
      <c r="J133" s="6">
        <f t="shared" si="11"/>
        <v>40740.740740740745</v>
      </c>
      <c r="K133" s="7">
        <v>0.43</v>
      </c>
      <c r="L133" s="3">
        <v>441</v>
      </c>
      <c r="M133" s="3">
        <v>450</v>
      </c>
      <c r="N133" s="3">
        <v>9</v>
      </c>
      <c r="O133" s="5">
        <f t="shared" ref="O133:O196" si="13">IFERROR(L133/M133,0)</f>
        <v>0.98</v>
      </c>
      <c r="P133" s="5">
        <f t="shared" ref="P133:P196" si="14">IFERROR(F133*K133/L133,0)</f>
        <v>0.78979591836734697</v>
      </c>
      <c r="Q133" s="5">
        <f t="shared" ref="Q133:Q196" si="15">IFERROR(G133/F133,0)</f>
        <v>0.95925925925925926</v>
      </c>
      <c r="R133" s="5">
        <f t="shared" ref="R133:R196" si="16">O133*P133*Q133</f>
        <v>0.74246666666666672</v>
      </c>
    </row>
    <row r="134" spans="1:18" x14ac:dyDescent="0.25">
      <c r="A134" s="3">
        <v>130</v>
      </c>
      <c r="B134" s="4">
        <v>46212</v>
      </c>
      <c r="C134" s="3" t="s">
        <v>30</v>
      </c>
      <c r="D134" s="3" t="s">
        <v>19</v>
      </c>
      <c r="E134" s="3" t="s">
        <v>20</v>
      </c>
      <c r="F134" s="3">
        <v>243</v>
      </c>
      <c r="G134" s="3">
        <v>241</v>
      </c>
      <c r="H134" s="3">
        <v>2</v>
      </c>
      <c r="I134" s="5">
        <f t="shared" si="12"/>
        <v>8.23045267489712E-3</v>
      </c>
      <c r="J134" s="6">
        <f t="shared" ref="J134:J197" si="17">H134/F134*1000000</f>
        <v>8230.4526748971202</v>
      </c>
      <c r="K134" s="7">
        <v>1.38</v>
      </c>
      <c r="L134" s="3">
        <v>408</v>
      </c>
      <c r="M134" s="3">
        <v>450</v>
      </c>
      <c r="N134" s="3">
        <v>42</v>
      </c>
      <c r="O134" s="5">
        <f t="shared" si="13"/>
        <v>0.90666666666666662</v>
      </c>
      <c r="P134" s="5">
        <f t="shared" si="14"/>
        <v>0.82191176470588234</v>
      </c>
      <c r="Q134" s="5">
        <f t="shared" si="15"/>
        <v>0.99176954732510292</v>
      </c>
      <c r="R134" s="5">
        <f t="shared" si="16"/>
        <v>0.73906666666666665</v>
      </c>
    </row>
    <row r="135" spans="1:18" x14ac:dyDescent="0.25">
      <c r="A135" s="3">
        <v>131</v>
      </c>
      <c r="B135" s="4">
        <v>46212</v>
      </c>
      <c r="C135" s="3" t="s">
        <v>30</v>
      </c>
      <c r="D135" s="3" t="s">
        <v>21</v>
      </c>
      <c r="E135" s="3" t="s">
        <v>29</v>
      </c>
      <c r="F135" s="3">
        <v>610</v>
      </c>
      <c r="G135" s="3">
        <v>588</v>
      </c>
      <c r="H135" s="3">
        <v>22</v>
      </c>
      <c r="I135" s="5">
        <f t="shared" si="12"/>
        <v>3.6065573770491806E-2</v>
      </c>
      <c r="J135" s="6">
        <f t="shared" si="17"/>
        <v>36065.573770491806</v>
      </c>
      <c r="K135" s="7">
        <v>0.62</v>
      </c>
      <c r="L135" s="3">
        <v>423</v>
      </c>
      <c r="M135" s="3">
        <v>450</v>
      </c>
      <c r="N135" s="3">
        <v>27</v>
      </c>
      <c r="O135" s="5">
        <f t="shared" si="13"/>
        <v>0.94</v>
      </c>
      <c r="P135" s="5">
        <f t="shared" si="14"/>
        <v>0.89408983451536639</v>
      </c>
      <c r="Q135" s="5">
        <f t="shared" si="15"/>
        <v>0.9639344262295082</v>
      </c>
      <c r="R135" s="5">
        <f t="shared" si="16"/>
        <v>0.81013333333333326</v>
      </c>
    </row>
    <row r="136" spans="1:18" x14ac:dyDescent="0.25">
      <c r="A136" s="3">
        <v>132</v>
      </c>
      <c r="B136" s="4">
        <v>46212</v>
      </c>
      <c r="C136" s="3" t="s">
        <v>30</v>
      </c>
      <c r="D136" s="3" t="s">
        <v>23</v>
      </c>
      <c r="E136" s="3" t="s">
        <v>24</v>
      </c>
      <c r="F136" s="3">
        <v>280</v>
      </c>
      <c r="G136" s="3">
        <v>277</v>
      </c>
      <c r="H136" s="3">
        <v>3</v>
      </c>
      <c r="I136" s="5">
        <f t="shared" si="12"/>
        <v>1.0714285714285714E-2</v>
      </c>
      <c r="J136" s="6">
        <f t="shared" si="17"/>
        <v>10714.285714285714</v>
      </c>
      <c r="K136" s="7">
        <v>1.27</v>
      </c>
      <c r="L136" s="3">
        <v>386</v>
      </c>
      <c r="M136" s="3">
        <v>450</v>
      </c>
      <c r="N136" s="3">
        <v>64</v>
      </c>
      <c r="O136" s="5">
        <f t="shared" si="13"/>
        <v>0.85777777777777775</v>
      </c>
      <c r="P136" s="5">
        <f t="shared" si="14"/>
        <v>0.92124352331606219</v>
      </c>
      <c r="Q136" s="5">
        <f t="shared" si="15"/>
        <v>0.98928571428571432</v>
      </c>
      <c r="R136" s="5">
        <f t="shared" si="16"/>
        <v>0.78175555555555554</v>
      </c>
    </row>
    <row r="137" spans="1:18" x14ac:dyDescent="0.25">
      <c r="A137" s="3">
        <v>133</v>
      </c>
      <c r="B137" s="4">
        <v>46212</v>
      </c>
      <c r="C137" s="3" t="s">
        <v>33</v>
      </c>
      <c r="D137" s="3" t="s">
        <v>19</v>
      </c>
      <c r="E137" s="3" t="s">
        <v>35</v>
      </c>
      <c r="F137" s="3">
        <v>221</v>
      </c>
      <c r="G137" s="3">
        <v>214</v>
      </c>
      <c r="H137" s="3">
        <v>7</v>
      </c>
      <c r="I137" s="5">
        <f t="shared" si="12"/>
        <v>3.1674208144796379E-2</v>
      </c>
      <c r="J137" s="6">
        <f t="shared" si="17"/>
        <v>31674.208144796379</v>
      </c>
      <c r="K137" s="7">
        <v>1.72</v>
      </c>
      <c r="L137" s="3">
        <v>412</v>
      </c>
      <c r="M137" s="3">
        <v>450</v>
      </c>
      <c r="N137" s="3">
        <v>38</v>
      </c>
      <c r="O137" s="5">
        <f t="shared" si="13"/>
        <v>0.91555555555555557</v>
      </c>
      <c r="P137" s="5">
        <f t="shared" si="14"/>
        <v>0.92262135922330102</v>
      </c>
      <c r="Q137" s="5">
        <f t="shared" si="15"/>
        <v>0.96832579185520362</v>
      </c>
      <c r="R137" s="5">
        <f t="shared" si="16"/>
        <v>0.81795555555555566</v>
      </c>
    </row>
    <row r="138" spans="1:18" x14ac:dyDescent="0.25">
      <c r="A138" s="3">
        <v>134</v>
      </c>
      <c r="B138" s="4">
        <v>46212</v>
      </c>
      <c r="C138" s="3" t="s">
        <v>33</v>
      </c>
      <c r="D138" s="3" t="s">
        <v>21</v>
      </c>
      <c r="E138" s="3" t="s">
        <v>20</v>
      </c>
      <c r="F138" s="3">
        <v>336</v>
      </c>
      <c r="G138" s="3">
        <v>333</v>
      </c>
      <c r="H138" s="3">
        <v>3</v>
      </c>
      <c r="I138" s="5">
        <f t="shared" si="12"/>
        <v>8.9285714285714281E-3</v>
      </c>
      <c r="J138" s="6">
        <f t="shared" si="17"/>
        <v>8928.5714285714275</v>
      </c>
      <c r="K138" s="7">
        <v>1.29</v>
      </c>
      <c r="L138" s="3">
        <v>427</v>
      </c>
      <c r="M138" s="3">
        <v>450</v>
      </c>
      <c r="N138" s="3">
        <v>23</v>
      </c>
      <c r="O138" s="5">
        <f t="shared" si="13"/>
        <v>0.94888888888888889</v>
      </c>
      <c r="P138" s="5">
        <f t="shared" si="14"/>
        <v>1.0150819672131148</v>
      </c>
      <c r="Q138" s="5">
        <f t="shared" si="15"/>
        <v>0.9910714285714286</v>
      </c>
      <c r="R138" s="5">
        <f t="shared" si="16"/>
        <v>0.95460000000000012</v>
      </c>
    </row>
    <row r="139" spans="1:18" x14ac:dyDescent="0.25">
      <c r="A139" s="3">
        <v>135</v>
      </c>
      <c r="B139" s="4">
        <v>46212</v>
      </c>
      <c r="C139" s="3" t="s">
        <v>33</v>
      </c>
      <c r="D139" s="3" t="s">
        <v>23</v>
      </c>
      <c r="E139" s="3" t="s">
        <v>24</v>
      </c>
      <c r="F139" s="3">
        <v>332</v>
      </c>
      <c r="G139" s="3">
        <v>329</v>
      </c>
      <c r="H139" s="3">
        <v>3</v>
      </c>
      <c r="I139" s="5">
        <f t="shared" si="12"/>
        <v>9.0361445783132526E-3</v>
      </c>
      <c r="J139" s="6">
        <f t="shared" si="17"/>
        <v>9036.1445783132531</v>
      </c>
      <c r="K139" s="7">
        <v>1.0900000000000001</v>
      </c>
      <c r="L139" s="3">
        <v>403</v>
      </c>
      <c r="M139" s="3">
        <v>450</v>
      </c>
      <c r="N139" s="3">
        <v>47</v>
      </c>
      <c r="O139" s="5">
        <f t="shared" si="13"/>
        <v>0.89555555555555555</v>
      </c>
      <c r="P139" s="5">
        <f t="shared" si="14"/>
        <v>0.89796526054590586</v>
      </c>
      <c r="Q139" s="5">
        <f t="shared" si="15"/>
        <v>0.99096385542168675</v>
      </c>
      <c r="R139" s="5">
        <f t="shared" si="16"/>
        <v>0.79691111111111124</v>
      </c>
    </row>
    <row r="140" spans="1:18" x14ac:dyDescent="0.25">
      <c r="A140" s="3">
        <v>136</v>
      </c>
      <c r="B140" s="4">
        <v>46213</v>
      </c>
      <c r="C140" s="3" t="s">
        <v>18</v>
      </c>
      <c r="D140" s="3" t="s">
        <v>19</v>
      </c>
      <c r="E140" s="3" t="s">
        <v>32</v>
      </c>
      <c r="F140" s="3">
        <v>662</v>
      </c>
      <c r="G140" s="3">
        <v>652</v>
      </c>
      <c r="H140" s="3">
        <v>10</v>
      </c>
      <c r="I140" s="5">
        <f t="shared" si="12"/>
        <v>1.5105740181268883E-2</v>
      </c>
      <c r="J140" s="6">
        <f t="shared" si="17"/>
        <v>15105.740181268882</v>
      </c>
      <c r="K140" s="7">
        <v>0.54</v>
      </c>
      <c r="L140" s="3">
        <v>421</v>
      </c>
      <c r="M140" s="3">
        <v>450</v>
      </c>
      <c r="N140" s="3">
        <v>29</v>
      </c>
      <c r="O140" s="5">
        <f t="shared" si="13"/>
        <v>0.93555555555555558</v>
      </c>
      <c r="P140" s="5">
        <f t="shared" si="14"/>
        <v>0.84912114014251783</v>
      </c>
      <c r="Q140" s="5">
        <f t="shared" si="15"/>
        <v>0.98489425981873113</v>
      </c>
      <c r="R140" s="5">
        <f t="shared" si="16"/>
        <v>0.78239999999999998</v>
      </c>
    </row>
    <row r="141" spans="1:18" x14ac:dyDescent="0.25">
      <c r="A141" s="3">
        <v>137</v>
      </c>
      <c r="B141" s="4">
        <v>46213</v>
      </c>
      <c r="C141" s="3" t="s">
        <v>18</v>
      </c>
      <c r="D141" s="3" t="s">
        <v>21</v>
      </c>
      <c r="E141" s="3" t="s">
        <v>27</v>
      </c>
      <c r="F141" s="3">
        <v>385</v>
      </c>
      <c r="G141" s="3">
        <v>377</v>
      </c>
      <c r="H141" s="3">
        <v>8</v>
      </c>
      <c r="I141" s="5">
        <f t="shared" si="12"/>
        <v>2.0779220779220779E-2</v>
      </c>
      <c r="J141" s="6">
        <f t="shared" si="17"/>
        <v>20779.220779220781</v>
      </c>
      <c r="K141" s="7">
        <v>0.97</v>
      </c>
      <c r="L141" s="3">
        <v>398</v>
      </c>
      <c r="M141" s="3">
        <v>450</v>
      </c>
      <c r="N141" s="3">
        <v>52</v>
      </c>
      <c r="O141" s="5">
        <f t="shared" si="13"/>
        <v>0.88444444444444448</v>
      </c>
      <c r="P141" s="5">
        <f t="shared" si="14"/>
        <v>0.93831658291457287</v>
      </c>
      <c r="Q141" s="5">
        <f t="shared" si="15"/>
        <v>0.97922077922077921</v>
      </c>
      <c r="R141" s="5">
        <f t="shared" si="16"/>
        <v>0.8126444444444445</v>
      </c>
    </row>
    <row r="142" spans="1:18" x14ac:dyDescent="0.25">
      <c r="A142" s="3">
        <v>138</v>
      </c>
      <c r="B142" s="4">
        <v>46213</v>
      </c>
      <c r="C142" s="3" t="s">
        <v>18</v>
      </c>
      <c r="D142" s="3" t="s">
        <v>23</v>
      </c>
      <c r="E142" s="3" t="s">
        <v>34</v>
      </c>
      <c r="F142" s="3">
        <v>362</v>
      </c>
      <c r="G142" s="3">
        <v>352</v>
      </c>
      <c r="H142" s="3">
        <v>10</v>
      </c>
      <c r="I142" s="5">
        <f t="shared" si="12"/>
        <v>2.7624309392265192E-2</v>
      </c>
      <c r="J142" s="6">
        <f t="shared" si="17"/>
        <v>27624.309392265193</v>
      </c>
      <c r="K142" s="7">
        <v>0.94</v>
      </c>
      <c r="L142" s="3">
        <v>408</v>
      </c>
      <c r="M142" s="3">
        <v>450</v>
      </c>
      <c r="N142" s="3">
        <v>42</v>
      </c>
      <c r="O142" s="5">
        <f t="shared" si="13"/>
        <v>0.90666666666666662</v>
      </c>
      <c r="P142" s="5">
        <f t="shared" si="14"/>
        <v>0.83401960784313722</v>
      </c>
      <c r="Q142" s="5">
        <f t="shared" si="15"/>
        <v>0.97237569060773477</v>
      </c>
      <c r="R142" s="5">
        <f t="shared" si="16"/>
        <v>0.73528888888888877</v>
      </c>
    </row>
    <row r="143" spans="1:18" x14ac:dyDescent="0.25">
      <c r="A143" s="3">
        <v>139</v>
      </c>
      <c r="B143" s="4">
        <v>46213</v>
      </c>
      <c r="C143" s="3" t="s">
        <v>25</v>
      </c>
      <c r="D143" s="3" t="s">
        <v>19</v>
      </c>
      <c r="E143" s="3" t="s">
        <v>22</v>
      </c>
      <c r="F143" s="3">
        <v>424</v>
      </c>
      <c r="G143" s="3">
        <v>414</v>
      </c>
      <c r="H143" s="3">
        <v>10</v>
      </c>
      <c r="I143" s="5">
        <f t="shared" si="12"/>
        <v>2.358490566037736E-2</v>
      </c>
      <c r="J143" s="6">
        <f t="shared" si="17"/>
        <v>23584.905660377361</v>
      </c>
      <c r="K143" s="7">
        <v>0.81</v>
      </c>
      <c r="L143" s="3">
        <v>389</v>
      </c>
      <c r="M143" s="3">
        <v>450</v>
      </c>
      <c r="N143" s="3">
        <v>61</v>
      </c>
      <c r="O143" s="5">
        <f t="shared" si="13"/>
        <v>0.86444444444444446</v>
      </c>
      <c r="P143" s="5">
        <f t="shared" si="14"/>
        <v>0.88287917737789201</v>
      </c>
      <c r="Q143" s="5">
        <f t="shared" si="15"/>
        <v>0.97641509433962259</v>
      </c>
      <c r="R143" s="5">
        <f t="shared" si="16"/>
        <v>0.74519999999999997</v>
      </c>
    </row>
    <row r="144" spans="1:18" x14ac:dyDescent="0.25">
      <c r="A144" s="3">
        <v>140</v>
      </c>
      <c r="B144" s="4">
        <v>46213</v>
      </c>
      <c r="C144" s="3" t="s">
        <v>25</v>
      </c>
      <c r="D144" s="3" t="s">
        <v>21</v>
      </c>
      <c r="E144" s="3" t="s">
        <v>24</v>
      </c>
      <c r="F144" s="3">
        <v>601</v>
      </c>
      <c r="G144" s="3">
        <v>585</v>
      </c>
      <c r="H144" s="3">
        <v>16</v>
      </c>
      <c r="I144" s="5">
        <f t="shared" si="12"/>
        <v>2.6622296173044926E-2</v>
      </c>
      <c r="J144" s="6">
        <f t="shared" si="17"/>
        <v>26622.296173044924</v>
      </c>
      <c r="K144" s="7">
        <v>0.68</v>
      </c>
      <c r="L144" s="3">
        <v>443</v>
      </c>
      <c r="M144" s="3">
        <v>450</v>
      </c>
      <c r="N144" s="3">
        <v>7</v>
      </c>
      <c r="O144" s="5">
        <f t="shared" si="13"/>
        <v>0.98444444444444446</v>
      </c>
      <c r="P144" s="5">
        <f t="shared" si="14"/>
        <v>0.92252821670428897</v>
      </c>
      <c r="Q144" s="5">
        <f t="shared" si="15"/>
        <v>0.9733777038269551</v>
      </c>
      <c r="R144" s="5">
        <f t="shared" si="16"/>
        <v>0.88400000000000012</v>
      </c>
    </row>
    <row r="145" spans="1:18" x14ac:dyDescent="0.25">
      <c r="A145" s="3">
        <v>141</v>
      </c>
      <c r="B145" s="4">
        <v>46213</v>
      </c>
      <c r="C145" s="3" t="s">
        <v>25</v>
      </c>
      <c r="D145" s="3" t="s">
        <v>23</v>
      </c>
      <c r="E145" s="3" t="s">
        <v>29</v>
      </c>
      <c r="F145" s="3">
        <v>283</v>
      </c>
      <c r="G145" s="3">
        <v>278</v>
      </c>
      <c r="H145" s="3">
        <v>5</v>
      </c>
      <c r="I145" s="5">
        <f t="shared" si="12"/>
        <v>1.7667844522968199E-2</v>
      </c>
      <c r="J145" s="6">
        <f t="shared" si="17"/>
        <v>17667.8445229682</v>
      </c>
      <c r="K145" s="7">
        <v>1.37</v>
      </c>
      <c r="L145" s="3">
        <v>412</v>
      </c>
      <c r="M145" s="3">
        <v>450</v>
      </c>
      <c r="N145" s="3">
        <v>38</v>
      </c>
      <c r="O145" s="5">
        <f t="shared" si="13"/>
        <v>0.91555555555555557</v>
      </c>
      <c r="P145" s="5">
        <f t="shared" si="14"/>
        <v>0.9410436893203884</v>
      </c>
      <c r="Q145" s="5">
        <f t="shared" si="15"/>
        <v>0.98233215547703179</v>
      </c>
      <c r="R145" s="5">
        <f t="shared" si="16"/>
        <v>0.84635555555555564</v>
      </c>
    </row>
    <row r="146" spans="1:18" x14ac:dyDescent="0.25">
      <c r="A146" s="3">
        <v>142</v>
      </c>
      <c r="B146" s="4">
        <v>46213</v>
      </c>
      <c r="C146" s="3" t="s">
        <v>28</v>
      </c>
      <c r="D146" s="3" t="s">
        <v>19</v>
      </c>
      <c r="E146" s="3" t="s">
        <v>27</v>
      </c>
      <c r="F146" s="3">
        <v>249</v>
      </c>
      <c r="G146" s="3">
        <v>244</v>
      </c>
      <c r="H146" s="3">
        <v>5</v>
      </c>
      <c r="I146" s="5">
        <f t="shared" si="12"/>
        <v>2.0080321285140562E-2</v>
      </c>
      <c r="J146" s="6">
        <f t="shared" si="17"/>
        <v>20080.321285140562</v>
      </c>
      <c r="K146" s="7">
        <v>1.49</v>
      </c>
      <c r="L146" s="3">
        <v>406</v>
      </c>
      <c r="M146" s="3">
        <v>450</v>
      </c>
      <c r="N146" s="3">
        <v>44</v>
      </c>
      <c r="O146" s="5">
        <f t="shared" si="13"/>
        <v>0.90222222222222226</v>
      </c>
      <c r="P146" s="5">
        <f t="shared" si="14"/>
        <v>0.91381773399014776</v>
      </c>
      <c r="Q146" s="5">
        <f t="shared" si="15"/>
        <v>0.97991967871485941</v>
      </c>
      <c r="R146" s="5">
        <f t="shared" si="16"/>
        <v>0.80791111111111114</v>
      </c>
    </row>
    <row r="147" spans="1:18" x14ac:dyDescent="0.25">
      <c r="A147" s="3">
        <v>143</v>
      </c>
      <c r="B147" s="4">
        <v>46213</v>
      </c>
      <c r="C147" s="3" t="s">
        <v>28</v>
      </c>
      <c r="D147" s="3" t="s">
        <v>21</v>
      </c>
      <c r="E147" s="3" t="s">
        <v>29</v>
      </c>
      <c r="F147" s="3">
        <v>297</v>
      </c>
      <c r="G147" s="3">
        <v>287</v>
      </c>
      <c r="H147" s="3">
        <v>10</v>
      </c>
      <c r="I147" s="5">
        <f t="shared" si="12"/>
        <v>3.3670033670033669E-2</v>
      </c>
      <c r="J147" s="6">
        <f t="shared" si="17"/>
        <v>33670.03367003367</v>
      </c>
      <c r="K147" s="7">
        <v>1.26</v>
      </c>
      <c r="L147" s="3">
        <v>413</v>
      </c>
      <c r="M147" s="3">
        <v>450</v>
      </c>
      <c r="N147" s="3">
        <v>37</v>
      </c>
      <c r="O147" s="5">
        <f t="shared" si="13"/>
        <v>0.9177777777777778</v>
      </c>
      <c r="P147" s="5">
        <f t="shared" si="14"/>
        <v>0.90610169491525427</v>
      </c>
      <c r="Q147" s="5">
        <f t="shared" si="15"/>
        <v>0.96632996632996637</v>
      </c>
      <c r="R147" s="5">
        <f t="shared" si="16"/>
        <v>0.80360000000000009</v>
      </c>
    </row>
    <row r="148" spans="1:18" x14ac:dyDescent="0.25">
      <c r="A148" s="3">
        <v>144</v>
      </c>
      <c r="B148" s="4">
        <v>46213</v>
      </c>
      <c r="C148" s="3" t="s">
        <v>28</v>
      </c>
      <c r="D148" s="3" t="s">
        <v>23</v>
      </c>
      <c r="E148" s="3" t="s">
        <v>20</v>
      </c>
      <c r="F148" s="3">
        <v>260</v>
      </c>
      <c r="G148" s="3">
        <v>254</v>
      </c>
      <c r="H148" s="3">
        <v>6</v>
      </c>
      <c r="I148" s="5">
        <f t="shared" si="12"/>
        <v>2.3076923076923078E-2</v>
      </c>
      <c r="J148" s="6">
        <f t="shared" si="17"/>
        <v>23076.923076923078</v>
      </c>
      <c r="K148" s="7">
        <v>1.64</v>
      </c>
      <c r="L148" s="3">
        <v>423</v>
      </c>
      <c r="M148" s="3">
        <v>450</v>
      </c>
      <c r="N148" s="3">
        <v>27</v>
      </c>
      <c r="O148" s="5">
        <f t="shared" si="13"/>
        <v>0.94</v>
      </c>
      <c r="P148" s="5">
        <f t="shared" si="14"/>
        <v>1.0080378250591016</v>
      </c>
      <c r="Q148" s="5">
        <f t="shared" si="15"/>
        <v>0.97692307692307689</v>
      </c>
      <c r="R148" s="5">
        <f t="shared" si="16"/>
        <v>0.92568888888888867</v>
      </c>
    </row>
    <row r="149" spans="1:18" x14ac:dyDescent="0.25">
      <c r="A149" s="3">
        <v>145</v>
      </c>
      <c r="B149" s="4">
        <v>46213</v>
      </c>
      <c r="C149" s="3" t="s">
        <v>30</v>
      </c>
      <c r="D149" s="3" t="s">
        <v>19</v>
      </c>
      <c r="E149" s="3" t="s">
        <v>24</v>
      </c>
      <c r="F149" s="3">
        <v>334</v>
      </c>
      <c r="G149" s="3">
        <v>321</v>
      </c>
      <c r="H149" s="3">
        <v>13</v>
      </c>
      <c r="I149" s="5">
        <f t="shared" si="12"/>
        <v>3.8922155688622756E-2</v>
      </c>
      <c r="J149" s="6">
        <f t="shared" si="17"/>
        <v>38922.155688622755</v>
      </c>
      <c r="K149" s="7">
        <v>1.1000000000000001</v>
      </c>
      <c r="L149" s="3">
        <v>429</v>
      </c>
      <c r="M149" s="3">
        <v>450</v>
      </c>
      <c r="N149" s="3">
        <v>21</v>
      </c>
      <c r="O149" s="5">
        <f t="shared" si="13"/>
        <v>0.95333333333333337</v>
      </c>
      <c r="P149" s="5">
        <f t="shared" si="14"/>
        <v>0.85641025641025648</v>
      </c>
      <c r="Q149" s="5">
        <f t="shared" si="15"/>
        <v>0.96107784431137722</v>
      </c>
      <c r="R149" s="5">
        <f t="shared" si="16"/>
        <v>0.78466666666666673</v>
      </c>
    </row>
    <row r="150" spans="1:18" x14ac:dyDescent="0.25">
      <c r="A150" s="3">
        <v>146</v>
      </c>
      <c r="B150" s="4">
        <v>46213</v>
      </c>
      <c r="C150" s="3" t="s">
        <v>30</v>
      </c>
      <c r="D150" s="3" t="s">
        <v>21</v>
      </c>
      <c r="E150" s="3" t="s">
        <v>29</v>
      </c>
      <c r="F150" s="3">
        <v>300</v>
      </c>
      <c r="G150" s="3">
        <v>298</v>
      </c>
      <c r="H150" s="3">
        <v>2</v>
      </c>
      <c r="I150" s="5">
        <f t="shared" si="12"/>
        <v>6.6666666666666671E-3</v>
      </c>
      <c r="J150" s="6">
        <f t="shared" si="17"/>
        <v>6666.666666666667</v>
      </c>
      <c r="K150" s="7">
        <v>1.07</v>
      </c>
      <c r="L150" s="3">
        <v>397</v>
      </c>
      <c r="M150" s="3">
        <v>450</v>
      </c>
      <c r="N150" s="3">
        <v>53</v>
      </c>
      <c r="O150" s="5">
        <f t="shared" si="13"/>
        <v>0.88222222222222224</v>
      </c>
      <c r="P150" s="5">
        <f t="shared" si="14"/>
        <v>0.80856423173803527</v>
      </c>
      <c r="Q150" s="5">
        <f t="shared" si="15"/>
        <v>0.99333333333333329</v>
      </c>
      <c r="R150" s="5">
        <f t="shared" si="16"/>
        <v>0.70857777777777775</v>
      </c>
    </row>
    <row r="151" spans="1:18" x14ac:dyDescent="0.25">
      <c r="A151" s="3">
        <v>147</v>
      </c>
      <c r="B151" s="4">
        <v>46213</v>
      </c>
      <c r="C151" s="3" t="s">
        <v>30</v>
      </c>
      <c r="D151" s="3" t="s">
        <v>23</v>
      </c>
      <c r="E151" s="3" t="s">
        <v>31</v>
      </c>
      <c r="F151" s="3">
        <v>213</v>
      </c>
      <c r="G151" s="3">
        <v>209</v>
      </c>
      <c r="H151" s="3">
        <v>4</v>
      </c>
      <c r="I151" s="5">
        <f t="shared" si="12"/>
        <v>1.8779342723004695E-2</v>
      </c>
      <c r="J151" s="6">
        <f t="shared" si="17"/>
        <v>18779.342723004695</v>
      </c>
      <c r="K151" s="7">
        <v>1.57</v>
      </c>
      <c r="L151" s="3">
        <v>395</v>
      </c>
      <c r="M151" s="3">
        <v>450</v>
      </c>
      <c r="N151" s="3">
        <v>55</v>
      </c>
      <c r="O151" s="5">
        <f t="shared" si="13"/>
        <v>0.87777777777777777</v>
      </c>
      <c r="P151" s="5">
        <f t="shared" si="14"/>
        <v>0.8466075949367089</v>
      </c>
      <c r="Q151" s="5">
        <f t="shared" si="15"/>
        <v>0.98122065727699526</v>
      </c>
      <c r="R151" s="5">
        <f t="shared" si="16"/>
        <v>0.7291777777777777</v>
      </c>
    </row>
    <row r="152" spans="1:18" x14ac:dyDescent="0.25">
      <c r="A152" s="3">
        <v>148</v>
      </c>
      <c r="B152" s="4">
        <v>46213</v>
      </c>
      <c r="C152" s="3" t="s">
        <v>33</v>
      </c>
      <c r="D152" s="3" t="s">
        <v>19</v>
      </c>
      <c r="E152" s="3" t="s">
        <v>26</v>
      </c>
      <c r="F152" s="3">
        <v>632</v>
      </c>
      <c r="G152" s="3">
        <v>610</v>
      </c>
      <c r="H152" s="3">
        <v>22</v>
      </c>
      <c r="I152" s="5">
        <f t="shared" si="12"/>
        <v>3.4810126582278479E-2</v>
      </c>
      <c r="J152" s="6">
        <f t="shared" si="17"/>
        <v>34810.126582278477</v>
      </c>
      <c r="K152" s="7">
        <v>0.6</v>
      </c>
      <c r="L152" s="3">
        <v>442</v>
      </c>
      <c r="M152" s="3">
        <v>450</v>
      </c>
      <c r="N152" s="3">
        <v>8</v>
      </c>
      <c r="O152" s="5">
        <f t="shared" si="13"/>
        <v>0.98222222222222222</v>
      </c>
      <c r="P152" s="5">
        <f t="shared" si="14"/>
        <v>0.85791855203619904</v>
      </c>
      <c r="Q152" s="5">
        <f t="shared" si="15"/>
        <v>0.96518987341772156</v>
      </c>
      <c r="R152" s="5">
        <f t="shared" si="16"/>
        <v>0.81333333333333324</v>
      </c>
    </row>
    <row r="153" spans="1:18" x14ac:dyDescent="0.25">
      <c r="A153" s="3">
        <v>149</v>
      </c>
      <c r="B153" s="4">
        <v>46213</v>
      </c>
      <c r="C153" s="3" t="s">
        <v>33</v>
      </c>
      <c r="D153" s="3" t="s">
        <v>21</v>
      </c>
      <c r="E153" s="3" t="s">
        <v>27</v>
      </c>
      <c r="F153" s="3">
        <v>1125</v>
      </c>
      <c r="G153" s="3">
        <v>1104</v>
      </c>
      <c r="H153" s="3">
        <v>21</v>
      </c>
      <c r="I153" s="5">
        <f t="shared" si="12"/>
        <v>1.8666666666666668E-2</v>
      </c>
      <c r="J153" s="6">
        <f t="shared" si="17"/>
        <v>18666.666666666668</v>
      </c>
      <c r="K153" s="7">
        <v>0.37</v>
      </c>
      <c r="L153" s="3">
        <v>419</v>
      </c>
      <c r="M153" s="3">
        <v>450</v>
      </c>
      <c r="N153" s="3">
        <v>31</v>
      </c>
      <c r="O153" s="5">
        <f t="shared" si="13"/>
        <v>0.93111111111111111</v>
      </c>
      <c r="P153" s="5">
        <f t="shared" si="14"/>
        <v>0.99343675417661093</v>
      </c>
      <c r="Q153" s="5">
        <f t="shared" si="15"/>
        <v>0.98133333333333328</v>
      </c>
      <c r="R153" s="5">
        <f t="shared" si="16"/>
        <v>0.90773333333333317</v>
      </c>
    </row>
    <row r="154" spans="1:18" x14ac:dyDescent="0.25">
      <c r="A154" s="3">
        <v>150</v>
      </c>
      <c r="B154" s="4">
        <v>46213</v>
      </c>
      <c r="C154" s="3" t="s">
        <v>33</v>
      </c>
      <c r="D154" s="3" t="s">
        <v>23</v>
      </c>
      <c r="E154" s="3" t="s">
        <v>35</v>
      </c>
      <c r="F154" s="3">
        <v>644</v>
      </c>
      <c r="G154" s="3">
        <v>639</v>
      </c>
      <c r="H154" s="3">
        <v>5</v>
      </c>
      <c r="I154" s="5">
        <f t="shared" si="12"/>
        <v>7.763975155279503E-3</v>
      </c>
      <c r="J154" s="6">
        <f t="shared" si="17"/>
        <v>7763.9751552795033</v>
      </c>
      <c r="K154" s="7">
        <v>0.56999999999999995</v>
      </c>
      <c r="L154" s="3">
        <v>395</v>
      </c>
      <c r="M154" s="3">
        <v>450</v>
      </c>
      <c r="N154" s="3">
        <v>55</v>
      </c>
      <c r="O154" s="5">
        <f t="shared" si="13"/>
        <v>0.87777777777777777</v>
      </c>
      <c r="P154" s="5">
        <f t="shared" si="14"/>
        <v>0.92931645569620247</v>
      </c>
      <c r="Q154" s="5">
        <f t="shared" si="15"/>
        <v>0.99223602484472051</v>
      </c>
      <c r="R154" s="5">
        <f t="shared" si="16"/>
        <v>0.80940000000000001</v>
      </c>
    </row>
    <row r="155" spans="1:18" x14ac:dyDescent="0.25">
      <c r="A155" s="3">
        <v>151</v>
      </c>
      <c r="B155" s="4">
        <v>46214</v>
      </c>
      <c r="C155" s="3" t="s">
        <v>18</v>
      </c>
      <c r="D155" s="3" t="s">
        <v>19</v>
      </c>
      <c r="E155" s="3" t="s">
        <v>27</v>
      </c>
      <c r="F155" s="3">
        <v>485</v>
      </c>
      <c r="G155" s="3">
        <v>468</v>
      </c>
      <c r="H155" s="3">
        <v>17</v>
      </c>
      <c r="I155" s="5">
        <f t="shared" si="12"/>
        <v>3.5051546391752578E-2</v>
      </c>
      <c r="J155" s="6">
        <f t="shared" si="17"/>
        <v>35051.546391752578</v>
      </c>
      <c r="K155" s="7">
        <v>0.88</v>
      </c>
      <c r="L155" s="3">
        <v>415</v>
      </c>
      <c r="M155" s="3">
        <v>450</v>
      </c>
      <c r="N155" s="3">
        <v>35</v>
      </c>
      <c r="O155" s="5">
        <f t="shared" si="13"/>
        <v>0.92222222222222228</v>
      </c>
      <c r="P155" s="5">
        <f t="shared" si="14"/>
        <v>1.028433734939759</v>
      </c>
      <c r="Q155" s="5">
        <f t="shared" si="15"/>
        <v>0.96494845360824744</v>
      </c>
      <c r="R155" s="5">
        <f t="shared" si="16"/>
        <v>0.91520000000000001</v>
      </c>
    </row>
    <row r="156" spans="1:18" x14ac:dyDescent="0.25">
      <c r="A156" s="3">
        <v>152</v>
      </c>
      <c r="B156" s="4">
        <v>46214</v>
      </c>
      <c r="C156" s="3" t="s">
        <v>18</v>
      </c>
      <c r="D156" s="3" t="s">
        <v>21</v>
      </c>
      <c r="E156" s="3" t="s">
        <v>29</v>
      </c>
      <c r="F156" s="3">
        <v>460</v>
      </c>
      <c r="G156" s="3">
        <v>445</v>
      </c>
      <c r="H156" s="3">
        <v>15</v>
      </c>
      <c r="I156" s="5">
        <f t="shared" si="12"/>
        <v>3.2608695652173912E-2</v>
      </c>
      <c r="J156" s="6">
        <f t="shared" si="17"/>
        <v>32608.695652173912</v>
      </c>
      <c r="K156" s="7">
        <v>0.8</v>
      </c>
      <c r="L156" s="3">
        <v>387</v>
      </c>
      <c r="M156" s="3">
        <v>450</v>
      </c>
      <c r="N156" s="3">
        <v>63</v>
      </c>
      <c r="O156" s="5">
        <f t="shared" si="13"/>
        <v>0.86</v>
      </c>
      <c r="P156" s="5">
        <f t="shared" si="14"/>
        <v>0.95090439276485783</v>
      </c>
      <c r="Q156" s="5">
        <f t="shared" si="15"/>
        <v>0.96739130434782605</v>
      </c>
      <c r="R156" s="5">
        <f t="shared" si="16"/>
        <v>0.79111111111111099</v>
      </c>
    </row>
    <row r="157" spans="1:18" x14ac:dyDescent="0.25">
      <c r="A157" s="3">
        <v>153</v>
      </c>
      <c r="B157" s="4">
        <v>46214</v>
      </c>
      <c r="C157" s="3" t="s">
        <v>18</v>
      </c>
      <c r="D157" s="3" t="s">
        <v>23</v>
      </c>
      <c r="E157" s="3" t="s">
        <v>29</v>
      </c>
      <c r="F157" s="3">
        <v>334</v>
      </c>
      <c r="G157" s="3">
        <v>330</v>
      </c>
      <c r="H157" s="3">
        <v>4</v>
      </c>
      <c r="I157" s="5">
        <f t="shared" si="12"/>
        <v>1.1976047904191617E-2</v>
      </c>
      <c r="J157" s="6">
        <f t="shared" si="17"/>
        <v>11976.047904191617</v>
      </c>
      <c r="K157" s="7">
        <v>0.91</v>
      </c>
      <c r="L157" s="3">
        <v>389</v>
      </c>
      <c r="M157" s="3">
        <v>450</v>
      </c>
      <c r="N157" s="3">
        <v>61</v>
      </c>
      <c r="O157" s="5">
        <f t="shared" si="13"/>
        <v>0.86444444444444446</v>
      </c>
      <c r="P157" s="5">
        <f t="shared" si="14"/>
        <v>0.7813367609254499</v>
      </c>
      <c r="Q157" s="5">
        <f t="shared" si="15"/>
        <v>0.9880239520958084</v>
      </c>
      <c r="R157" s="5">
        <f t="shared" si="16"/>
        <v>0.66733333333333333</v>
      </c>
    </row>
    <row r="158" spans="1:18" x14ac:dyDescent="0.25">
      <c r="A158" s="3">
        <v>154</v>
      </c>
      <c r="B158" s="4">
        <v>46214</v>
      </c>
      <c r="C158" s="3" t="s">
        <v>25</v>
      </c>
      <c r="D158" s="3" t="s">
        <v>19</v>
      </c>
      <c r="E158" s="3" t="s">
        <v>22</v>
      </c>
      <c r="F158" s="3">
        <v>300</v>
      </c>
      <c r="G158" s="3">
        <v>297</v>
      </c>
      <c r="H158" s="3">
        <v>3</v>
      </c>
      <c r="I158" s="5">
        <f t="shared" si="12"/>
        <v>0.01</v>
      </c>
      <c r="J158" s="6">
        <f t="shared" si="17"/>
        <v>10000</v>
      </c>
      <c r="K158" s="7">
        <v>1.1100000000000001</v>
      </c>
      <c r="L158" s="3">
        <v>406</v>
      </c>
      <c r="M158" s="3">
        <v>450</v>
      </c>
      <c r="N158" s="3">
        <v>44</v>
      </c>
      <c r="O158" s="5">
        <f t="shared" si="13"/>
        <v>0.90222222222222226</v>
      </c>
      <c r="P158" s="5">
        <f t="shared" si="14"/>
        <v>0.82019704433497553</v>
      </c>
      <c r="Q158" s="5">
        <f t="shared" si="15"/>
        <v>0.99</v>
      </c>
      <c r="R158" s="5">
        <f t="shared" si="16"/>
        <v>0.73260000000000025</v>
      </c>
    </row>
    <row r="159" spans="1:18" x14ac:dyDescent="0.25">
      <c r="A159" s="3">
        <v>155</v>
      </c>
      <c r="B159" s="4">
        <v>46214</v>
      </c>
      <c r="C159" s="3" t="s">
        <v>25</v>
      </c>
      <c r="D159" s="3" t="s">
        <v>21</v>
      </c>
      <c r="E159" s="3" t="s">
        <v>31</v>
      </c>
      <c r="F159" s="3">
        <v>229</v>
      </c>
      <c r="G159" s="3">
        <v>220</v>
      </c>
      <c r="H159" s="3">
        <v>9</v>
      </c>
      <c r="I159" s="5">
        <f t="shared" si="12"/>
        <v>3.9301310043668124E-2</v>
      </c>
      <c r="J159" s="6">
        <f t="shared" si="17"/>
        <v>39301.310043668127</v>
      </c>
      <c r="K159" s="7">
        <v>1.56</v>
      </c>
      <c r="L159" s="3">
        <v>389</v>
      </c>
      <c r="M159" s="3">
        <v>450</v>
      </c>
      <c r="N159" s="3">
        <v>61</v>
      </c>
      <c r="O159" s="5">
        <f t="shared" si="13"/>
        <v>0.86444444444444446</v>
      </c>
      <c r="P159" s="5">
        <f t="shared" si="14"/>
        <v>0.91835475578406167</v>
      </c>
      <c r="Q159" s="5">
        <f t="shared" si="15"/>
        <v>0.9606986899563319</v>
      </c>
      <c r="R159" s="5">
        <f t="shared" si="16"/>
        <v>0.7626666666666666</v>
      </c>
    </row>
    <row r="160" spans="1:18" x14ac:dyDescent="0.25">
      <c r="A160" s="3">
        <v>156</v>
      </c>
      <c r="B160" s="4">
        <v>46214</v>
      </c>
      <c r="C160" s="3" t="s">
        <v>25</v>
      </c>
      <c r="D160" s="3" t="s">
        <v>23</v>
      </c>
      <c r="E160" s="3" t="s">
        <v>35</v>
      </c>
      <c r="F160" s="3">
        <v>175</v>
      </c>
      <c r="G160" s="3">
        <v>171</v>
      </c>
      <c r="H160" s="3">
        <v>4</v>
      </c>
      <c r="I160" s="5">
        <f t="shared" si="12"/>
        <v>2.2857142857142857E-2</v>
      </c>
      <c r="J160" s="6">
        <f t="shared" si="17"/>
        <v>22857.142857142859</v>
      </c>
      <c r="K160" s="7">
        <v>1.79</v>
      </c>
      <c r="L160" s="3">
        <v>385</v>
      </c>
      <c r="M160" s="3">
        <v>450</v>
      </c>
      <c r="N160" s="3">
        <v>65</v>
      </c>
      <c r="O160" s="5">
        <f t="shared" si="13"/>
        <v>0.85555555555555551</v>
      </c>
      <c r="P160" s="5">
        <f t="shared" si="14"/>
        <v>0.8136363636363636</v>
      </c>
      <c r="Q160" s="5">
        <f t="shared" si="15"/>
        <v>0.97714285714285709</v>
      </c>
      <c r="R160" s="5">
        <f t="shared" si="16"/>
        <v>0.68019999999999992</v>
      </c>
    </row>
    <row r="161" spans="1:18" x14ac:dyDescent="0.25">
      <c r="A161" s="3">
        <v>157</v>
      </c>
      <c r="B161" s="4">
        <v>46214</v>
      </c>
      <c r="C161" s="3" t="s">
        <v>28</v>
      </c>
      <c r="D161" s="3" t="s">
        <v>19</v>
      </c>
      <c r="E161" s="3" t="s">
        <v>34</v>
      </c>
      <c r="F161" s="3">
        <v>447</v>
      </c>
      <c r="G161" s="3">
        <v>438</v>
      </c>
      <c r="H161" s="3">
        <v>9</v>
      </c>
      <c r="I161" s="5">
        <f t="shared" si="12"/>
        <v>2.0134228187919462E-2</v>
      </c>
      <c r="J161" s="6">
        <f t="shared" si="17"/>
        <v>20134.228187919463</v>
      </c>
      <c r="K161" s="7">
        <v>0.92</v>
      </c>
      <c r="L161" s="3">
        <v>425</v>
      </c>
      <c r="M161" s="3">
        <v>450</v>
      </c>
      <c r="N161" s="3">
        <v>25</v>
      </c>
      <c r="O161" s="5">
        <f t="shared" si="13"/>
        <v>0.94444444444444442</v>
      </c>
      <c r="P161" s="5">
        <f t="shared" si="14"/>
        <v>0.96762352941176477</v>
      </c>
      <c r="Q161" s="5">
        <f t="shared" si="15"/>
        <v>0.97986577181208057</v>
      </c>
      <c r="R161" s="5">
        <f t="shared" si="16"/>
        <v>0.89546666666666674</v>
      </c>
    </row>
    <row r="162" spans="1:18" x14ac:dyDescent="0.25">
      <c r="A162" s="3">
        <v>158</v>
      </c>
      <c r="B162" s="4">
        <v>46214</v>
      </c>
      <c r="C162" s="3" t="s">
        <v>28</v>
      </c>
      <c r="D162" s="3" t="s">
        <v>21</v>
      </c>
      <c r="E162" s="3" t="s">
        <v>22</v>
      </c>
      <c r="F162" s="3">
        <v>350</v>
      </c>
      <c r="G162" s="3">
        <v>346</v>
      </c>
      <c r="H162" s="3">
        <v>4</v>
      </c>
      <c r="I162" s="5">
        <f t="shared" si="12"/>
        <v>1.1428571428571429E-2</v>
      </c>
      <c r="J162" s="6">
        <f t="shared" si="17"/>
        <v>11428.571428571429</v>
      </c>
      <c r="K162" s="7">
        <v>1.03</v>
      </c>
      <c r="L162" s="3">
        <v>441</v>
      </c>
      <c r="M162" s="3">
        <v>450</v>
      </c>
      <c r="N162" s="3">
        <v>9</v>
      </c>
      <c r="O162" s="5">
        <f t="shared" si="13"/>
        <v>0.98</v>
      </c>
      <c r="P162" s="5">
        <f t="shared" si="14"/>
        <v>0.81746031746031744</v>
      </c>
      <c r="Q162" s="5">
        <f t="shared" si="15"/>
        <v>0.98857142857142855</v>
      </c>
      <c r="R162" s="5">
        <f t="shared" si="16"/>
        <v>0.79195555555555552</v>
      </c>
    </row>
    <row r="163" spans="1:18" x14ac:dyDescent="0.25">
      <c r="A163" s="3">
        <v>159</v>
      </c>
      <c r="B163" s="4">
        <v>46214</v>
      </c>
      <c r="C163" s="3" t="s">
        <v>28</v>
      </c>
      <c r="D163" s="3" t="s">
        <v>23</v>
      </c>
      <c r="E163" s="3" t="s">
        <v>20</v>
      </c>
      <c r="F163" s="3">
        <v>194</v>
      </c>
      <c r="G163" s="3">
        <v>191</v>
      </c>
      <c r="H163" s="3">
        <v>3</v>
      </c>
      <c r="I163" s="5">
        <f t="shared" si="12"/>
        <v>1.5463917525773196E-2</v>
      </c>
      <c r="J163" s="6">
        <f t="shared" si="17"/>
        <v>15463.917525773197</v>
      </c>
      <c r="K163" s="7">
        <v>1.67</v>
      </c>
      <c r="L163" s="3">
        <v>388</v>
      </c>
      <c r="M163" s="3">
        <v>450</v>
      </c>
      <c r="N163" s="3">
        <v>62</v>
      </c>
      <c r="O163" s="5">
        <f t="shared" si="13"/>
        <v>0.86222222222222222</v>
      </c>
      <c r="P163" s="5">
        <f t="shared" si="14"/>
        <v>0.83499999999999985</v>
      </c>
      <c r="Q163" s="5">
        <f t="shared" si="15"/>
        <v>0.98453608247422686</v>
      </c>
      <c r="R163" s="5">
        <f t="shared" si="16"/>
        <v>0.70882222222222213</v>
      </c>
    </row>
    <row r="164" spans="1:18" x14ac:dyDescent="0.25">
      <c r="A164" s="3">
        <v>160</v>
      </c>
      <c r="B164" s="4">
        <v>46214</v>
      </c>
      <c r="C164" s="3" t="s">
        <v>30</v>
      </c>
      <c r="D164" s="3" t="s">
        <v>19</v>
      </c>
      <c r="E164" s="3" t="s">
        <v>35</v>
      </c>
      <c r="F164" s="3">
        <v>387</v>
      </c>
      <c r="G164" s="3">
        <v>378</v>
      </c>
      <c r="H164" s="3">
        <v>9</v>
      </c>
      <c r="I164" s="5">
        <f t="shared" si="12"/>
        <v>2.3255813953488372E-2</v>
      </c>
      <c r="J164" s="6">
        <f t="shared" si="17"/>
        <v>23255.81395348837</v>
      </c>
      <c r="K164" s="7">
        <v>1.06</v>
      </c>
      <c r="L164" s="3">
        <v>443</v>
      </c>
      <c r="M164" s="3">
        <v>450</v>
      </c>
      <c r="N164" s="3">
        <v>7</v>
      </c>
      <c r="O164" s="5">
        <f t="shared" si="13"/>
        <v>0.98444444444444446</v>
      </c>
      <c r="P164" s="5">
        <f t="shared" si="14"/>
        <v>0.9260045146726863</v>
      </c>
      <c r="Q164" s="5">
        <f t="shared" si="15"/>
        <v>0.97674418604651159</v>
      </c>
      <c r="R164" s="5">
        <f t="shared" si="16"/>
        <v>0.89040000000000008</v>
      </c>
    </row>
    <row r="165" spans="1:18" x14ac:dyDescent="0.25">
      <c r="A165" s="3">
        <v>161</v>
      </c>
      <c r="B165" s="4">
        <v>46214</v>
      </c>
      <c r="C165" s="3" t="s">
        <v>30</v>
      </c>
      <c r="D165" s="3" t="s">
        <v>21</v>
      </c>
      <c r="E165" s="3" t="s">
        <v>24</v>
      </c>
      <c r="F165" s="3">
        <v>904</v>
      </c>
      <c r="G165" s="3">
        <v>877</v>
      </c>
      <c r="H165" s="3">
        <v>27</v>
      </c>
      <c r="I165" s="5">
        <f t="shared" si="12"/>
        <v>2.9867256637168143E-2</v>
      </c>
      <c r="J165" s="6">
        <f t="shared" si="17"/>
        <v>29867.256637168142</v>
      </c>
      <c r="K165" s="7">
        <v>0.47</v>
      </c>
      <c r="L165" s="3">
        <v>429</v>
      </c>
      <c r="M165" s="3">
        <v>450</v>
      </c>
      <c r="N165" s="3">
        <v>21</v>
      </c>
      <c r="O165" s="5">
        <f t="shared" si="13"/>
        <v>0.95333333333333337</v>
      </c>
      <c r="P165" s="5">
        <f t="shared" si="14"/>
        <v>0.99039627039627043</v>
      </c>
      <c r="Q165" s="5">
        <f t="shared" si="15"/>
        <v>0.97013274336283184</v>
      </c>
      <c r="R165" s="5">
        <f t="shared" si="16"/>
        <v>0.91597777777777789</v>
      </c>
    </row>
    <row r="166" spans="1:18" x14ac:dyDescent="0.25">
      <c r="A166" s="3">
        <v>162</v>
      </c>
      <c r="B166" s="4">
        <v>46214</v>
      </c>
      <c r="C166" s="3" t="s">
        <v>30</v>
      </c>
      <c r="D166" s="3" t="s">
        <v>23</v>
      </c>
      <c r="E166" s="3" t="s">
        <v>26</v>
      </c>
      <c r="F166" s="3">
        <v>316</v>
      </c>
      <c r="G166" s="3">
        <v>305</v>
      </c>
      <c r="H166" s="3">
        <v>11</v>
      </c>
      <c r="I166" s="5">
        <f t="shared" si="12"/>
        <v>3.4810126582278479E-2</v>
      </c>
      <c r="J166" s="6">
        <f t="shared" si="17"/>
        <v>34810.126582278477</v>
      </c>
      <c r="K166" s="7">
        <v>1.29</v>
      </c>
      <c r="L166" s="3">
        <v>431</v>
      </c>
      <c r="M166" s="3">
        <v>450</v>
      </c>
      <c r="N166" s="3">
        <v>19</v>
      </c>
      <c r="O166" s="5">
        <f t="shared" si="13"/>
        <v>0.95777777777777773</v>
      </c>
      <c r="P166" s="5">
        <f t="shared" si="14"/>
        <v>0.94580046403712292</v>
      </c>
      <c r="Q166" s="5">
        <f t="shared" si="15"/>
        <v>0.96518987341772156</v>
      </c>
      <c r="R166" s="5">
        <f t="shared" si="16"/>
        <v>0.8743333333333333</v>
      </c>
    </row>
    <row r="167" spans="1:18" x14ac:dyDescent="0.25">
      <c r="A167" s="3">
        <v>163</v>
      </c>
      <c r="B167" s="4">
        <v>46214</v>
      </c>
      <c r="C167" s="3" t="s">
        <v>33</v>
      </c>
      <c r="D167" s="3" t="s">
        <v>19</v>
      </c>
      <c r="E167" s="3" t="s">
        <v>22</v>
      </c>
      <c r="F167" s="3">
        <v>853</v>
      </c>
      <c r="G167" s="3">
        <v>838</v>
      </c>
      <c r="H167" s="3">
        <v>15</v>
      </c>
      <c r="I167" s="5">
        <f t="shared" si="12"/>
        <v>1.7584994138335287E-2</v>
      </c>
      <c r="J167" s="6">
        <f t="shared" si="17"/>
        <v>17584.994138335289</v>
      </c>
      <c r="K167" s="7">
        <v>0.43</v>
      </c>
      <c r="L167" s="3">
        <v>401</v>
      </c>
      <c r="M167" s="3">
        <v>450</v>
      </c>
      <c r="N167" s="3">
        <v>49</v>
      </c>
      <c r="O167" s="5">
        <f t="shared" si="13"/>
        <v>0.89111111111111108</v>
      </c>
      <c r="P167" s="5">
        <f t="shared" si="14"/>
        <v>0.91468827930174568</v>
      </c>
      <c r="Q167" s="5">
        <f t="shared" si="15"/>
        <v>0.98241500586166475</v>
      </c>
      <c r="R167" s="5">
        <f t="shared" si="16"/>
        <v>0.80075555555555555</v>
      </c>
    </row>
    <row r="168" spans="1:18" x14ac:dyDescent="0.25">
      <c r="A168" s="3">
        <v>164</v>
      </c>
      <c r="B168" s="4">
        <v>46214</v>
      </c>
      <c r="C168" s="3" t="s">
        <v>33</v>
      </c>
      <c r="D168" s="3" t="s">
        <v>21</v>
      </c>
      <c r="E168" s="3" t="s">
        <v>26</v>
      </c>
      <c r="F168" s="3">
        <v>242</v>
      </c>
      <c r="G168" s="3">
        <v>233</v>
      </c>
      <c r="H168" s="3">
        <v>9</v>
      </c>
      <c r="I168" s="5">
        <f t="shared" si="12"/>
        <v>3.71900826446281E-2</v>
      </c>
      <c r="J168" s="6">
        <f t="shared" si="17"/>
        <v>37190.082644628099</v>
      </c>
      <c r="K168" s="7">
        <v>1.57</v>
      </c>
      <c r="L168" s="3">
        <v>423</v>
      </c>
      <c r="M168" s="3">
        <v>450</v>
      </c>
      <c r="N168" s="3">
        <v>27</v>
      </c>
      <c r="O168" s="5">
        <f t="shared" si="13"/>
        <v>0.94</v>
      </c>
      <c r="P168" s="5">
        <f t="shared" si="14"/>
        <v>0.89820330969267137</v>
      </c>
      <c r="Q168" s="5">
        <f t="shared" si="15"/>
        <v>0.96280991735537191</v>
      </c>
      <c r="R168" s="5">
        <f t="shared" si="16"/>
        <v>0.81291111111111103</v>
      </c>
    </row>
    <row r="169" spans="1:18" x14ac:dyDescent="0.25">
      <c r="A169" s="3">
        <v>165</v>
      </c>
      <c r="B169" s="4">
        <v>46214</v>
      </c>
      <c r="C169" s="3" t="s">
        <v>33</v>
      </c>
      <c r="D169" s="3" t="s">
        <v>23</v>
      </c>
      <c r="E169" s="3" t="s">
        <v>31</v>
      </c>
      <c r="F169" s="3">
        <v>268</v>
      </c>
      <c r="G169" s="3">
        <v>261</v>
      </c>
      <c r="H169" s="3">
        <v>7</v>
      </c>
      <c r="I169" s="5">
        <f t="shared" si="12"/>
        <v>2.6119402985074626E-2</v>
      </c>
      <c r="J169" s="6">
        <f t="shared" si="17"/>
        <v>26119.402985074626</v>
      </c>
      <c r="K169" s="7">
        <v>1.59</v>
      </c>
      <c r="L169" s="3">
        <v>423</v>
      </c>
      <c r="M169" s="3">
        <v>450</v>
      </c>
      <c r="N169" s="3">
        <v>27</v>
      </c>
      <c r="O169" s="5">
        <f t="shared" si="13"/>
        <v>0.94</v>
      </c>
      <c r="P169" s="5">
        <f t="shared" si="14"/>
        <v>1.0073758865248228</v>
      </c>
      <c r="Q169" s="5">
        <f t="shared" si="15"/>
        <v>0.97388059701492535</v>
      </c>
      <c r="R169" s="5">
        <f t="shared" si="16"/>
        <v>0.92220000000000002</v>
      </c>
    </row>
    <row r="170" spans="1:18" x14ac:dyDescent="0.25">
      <c r="A170" s="3">
        <v>166</v>
      </c>
      <c r="B170" s="4">
        <v>46215</v>
      </c>
      <c r="C170" s="3" t="s">
        <v>18</v>
      </c>
      <c r="D170" s="3" t="s">
        <v>19</v>
      </c>
      <c r="E170" s="3" t="s">
        <v>20</v>
      </c>
      <c r="F170" s="3">
        <v>227</v>
      </c>
      <c r="G170" s="3">
        <v>222</v>
      </c>
      <c r="H170" s="3">
        <v>5</v>
      </c>
      <c r="I170" s="5">
        <f t="shared" si="12"/>
        <v>2.2026431718061675E-2</v>
      </c>
      <c r="J170" s="6">
        <f t="shared" si="17"/>
        <v>22026.431718061674</v>
      </c>
      <c r="K170" s="7">
        <v>1.58</v>
      </c>
      <c r="L170" s="3">
        <v>415</v>
      </c>
      <c r="M170" s="3">
        <v>450</v>
      </c>
      <c r="N170" s="3">
        <v>35</v>
      </c>
      <c r="O170" s="5">
        <f t="shared" si="13"/>
        <v>0.92222222222222228</v>
      </c>
      <c r="P170" s="5">
        <f t="shared" si="14"/>
        <v>0.86424096385542171</v>
      </c>
      <c r="Q170" s="5">
        <f t="shared" si="15"/>
        <v>0.97797356828193838</v>
      </c>
      <c r="R170" s="5">
        <f t="shared" si="16"/>
        <v>0.77946666666666675</v>
      </c>
    </row>
    <row r="171" spans="1:18" x14ac:dyDescent="0.25">
      <c r="A171" s="3">
        <v>167</v>
      </c>
      <c r="B171" s="4">
        <v>46215</v>
      </c>
      <c r="C171" s="3" t="s">
        <v>18</v>
      </c>
      <c r="D171" s="3" t="s">
        <v>21</v>
      </c>
      <c r="E171" s="3" t="s">
        <v>20</v>
      </c>
      <c r="F171" s="3">
        <v>325</v>
      </c>
      <c r="G171" s="3">
        <v>312</v>
      </c>
      <c r="H171" s="3">
        <v>13</v>
      </c>
      <c r="I171" s="5">
        <f t="shared" si="12"/>
        <v>0.04</v>
      </c>
      <c r="J171" s="6">
        <f t="shared" si="17"/>
        <v>40000</v>
      </c>
      <c r="K171" s="7">
        <v>1.1200000000000001</v>
      </c>
      <c r="L171" s="3">
        <v>414</v>
      </c>
      <c r="M171" s="3">
        <v>450</v>
      </c>
      <c r="N171" s="3">
        <v>36</v>
      </c>
      <c r="O171" s="5">
        <f t="shared" si="13"/>
        <v>0.92</v>
      </c>
      <c r="P171" s="5">
        <f t="shared" si="14"/>
        <v>0.87922705314009675</v>
      </c>
      <c r="Q171" s="5">
        <f t="shared" si="15"/>
        <v>0.96</v>
      </c>
      <c r="R171" s="5">
        <f t="shared" si="16"/>
        <v>0.77653333333333341</v>
      </c>
    </row>
    <row r="172" spans="1:18" x14ac:dyDescent="0.25">
      <c r="A172" s="3">
        <v>168</v>
      </c>
      <c r="B172" s="4">
        <v>46215</v>
      </c>
      <c r="C172" s="3" t="s">
        <v>18</v>
      </c>
      <c r="D172" s="3" t="s">
        <v>23</v>
      </c>
      <c r="E172" s="3" t="s">
        <v>34</v>
      </c>
      <c r="F172" s="3">
        <v>287</v>
      </c>
      <c r="G172" s="3">
        <v>282</v>
      </c>
      <c r="H172" s="3">
        <v>5</v>
      </c>
      <c r="I172" s="5">
        <f t="shared" si="12"/>
        <v>1.7421602787456445E-2</v>
      </c>
      <c r="J172" s="6">
        <f t="shared" si="17"/>
        <v>17421.602787456446</v>
      </c>
      <c r="K172" s="7">
        <v>1.26</v>
      </c>
      <c r="L172" s="3">
        <v>439</v>
      </c>
      <c r="M172" s="3">
        <v>450</v>
      </c>
      <c r="N172" s="3">
        <v>11</v>
      </c>
      <c r="O172" s="5">
        <f t="shared" si="13"/>
        <v>0.97555555555555551</v>
      </c>
      <c r="P172" s="5">
        <f t="shared" si="14"/>
        <v>0.82373576309794994</v>
      </c>
      <c r="Q172" s="5">
        <f t="shared" si="15"/>
        <v>0.98257839721254359</v>
      </c>
      <c r="R172" s="5">
        <f t="shared" si="16"/>
        <v>0.78959999999999997</v>
      </c>
    </row>
    <row r="173" spans="1:18" x14ac:dyDescent="0.25">
      <c r="A173" s="3">
        <v>169</v>
      </c>
      <c r="B173" s="4">
        <v>46215</v>
      </c>
      <c r="C173" s="3" t="s">
        <v>25</v>
      </c>
      <c r="D173" s="3" t="s">
        <v>19</v>
      </c>
      <c r="E173" s="3" t="s">
        <v>20</v>
      </c>
      <c r="F173" s="3">
        <v>690</v>
      </c>
      <c r="G173" s="3">
        <v>675</v>
      </c>
      <c r="H173" s="3">
        <v>15</v>
      </c>
      <c r="I173" s="5">
        <f t="shared" si="12"/>
        <v>2.1739130434782608E-2</v>
      </c>
      <c r="J173" s="6">
        <f t="shared" si="17"/>
        <v>21739.130434782608</v>
      </c>
      <c r="K173" s="7">
        <v>0.63</v>
      </c>
      <c r="L173" s="3">
        <v>430</v>
      </c>
      <c r="M173" s="3">
        <v>450</v>
      </c>
      <c r="N173" s="3">
        <v>20</v>
      </c>
      <c r="O173" s="5">
        <f t="shared" si="13"/>
        <v>0.9555555555555556</v>
      </c>
      <c r="P173" s="5">
        <f t="shared" si="14"/>
        <v>1.0109302325581395</v>
      </c>
      <c r="Q173" s="5">
        <f t="shared" si="15"/>
        <v>0.97826086956521741</v>
      </c>
      <c r="R173" s="5">
        <f t="shared" si="16"/>
        <v>0.94500000000000006</v>
      </c>
    </row>
    <row r="174" spans="1:18" x14ac:dyDescent="0.25">
      <c r="A174" s="3">
        <v>170</v>
      </c>
      <c r="B174" s="4">
        <v>46215</v>
      </c>
      <c r="C174" s="3" t="s">
        <v>25</v>
      </c>
      <c r="D174" s="3" t="s">
        <v>21</v>
      </c>
      <c r="E174" s="3" t="s">
        <v>29</v>
      </c>
      <c r="F174" s="3">
        <v>515</v>
      </c>
      <c r="G174" s="3">
        <v>513</v>
      </c>
      <c r="H174" s="3">
        <v>2</v>
      </c>
      <c r="I174" s="5">
        <f t="shared" si="12"/>
        <v>3.8834951456310678E-3</v>
      </c>
      <c r="J174" s="6">
        <f t="shared" si="17"/>
        <v>3883.4951456310678</v>
      </c>
      <c r="K174" s="7">
        <v>0.8</v>
      </c>
      <c r="L174" s="3">
        <v>444</v>
      </c>
      <c r="M174" s="3">
        <v>450</v>
      </c>
      <c r="N174" s="3">
        <v>6</v>
      </c>
      <c r="O174" s="5">
        <f t="shared" si="13"/>
        <v>0.98666666666666669</v>
      </c>
      <c r="P174" s="5">
        <f t="shared" si="14"/>
        <v>0.92792792792792789</v>
      </c>
      <c r="Q174" s="5">
        <f t="shared" si="15"/>
        <v>0.99611650485436898</v>
      </c>
      <c r="R174" s="5">
        <f t="shared" si="16"/>
        <v>0.91200000000000003</v>
      </c>
    </row>
    <row r="175" spans="1:18" x14ac:dyDescent="0.25">
      <c r="A175" s="3">
        <v>171</v>
      </c>
      <c r="B175" s="4">
        <v>46215</v>
      </c>
      <c r="C175" s="3" t="s">
        <v>25</v>
      </c>
      <c r="D175" s="3" t="s">
        <v>23</v>
      </c>
      <c r="E175" s="3" t="s">
        <v>27</v>
      </c>
      <c r="F175" s="3">
        <v>544</v>
      </c>
      <c r="G175" s="3">
        <v>520</v>
      </c>
      <c r="H175" s="3">
        <v>24</v>
      </c>
      <c r="I175" s="5">
        <f t="shared" si="12"/>
        <v>4.4117647058823532E-2</v>
      </c>
      <c r="J175" s="6">
        <f t="shared" si="17"/>
        <v>44117.647058823532</v>
      </c>
      <c r="K175" s="7">
        <v>0.75</v>
      </c>
      <c r="L175" s="3">
        <v>435</v>
      </c>
      <c r="M175" s="3">
        <v>450</v>
      </c>
      <c r="N175" s="3">
        <v>15</v>
      </c>
      <c r="O175" s="5">
        <f t="shared" si="13"/>
        <v>0.96666666666666667</v>
      </c>
      <c r="P175" s="5">
        <f t="shared" si="14"/>
        <v>0.93793103448275861</v>
      </c>
      <c r="Q175" s="5">
        <f t="shared" si="15"/>
        <v>0.95588235294117652</v>
      </c>
      <c r="R175" s="5">
        <f t="shared" si="16"/>
        <v>0.8666666666666667</v>
      </c>
    </row>
    <row r="176" spans="1:18" x14ac:dyDescent="0.25">
      <c r="A176" s="3">
        <v>172</v>
      </c>
      <c r="B176" s="4">
        <v>46215</v>
      </c>
      <c r="C176" s="3" t="s">
        <v>28</v>
      </c>
      <c r="D176" s="3" t="s">
        <v>19</v>
      </c>
      <c r="E176" s="3" t="s">
        <v>27</v>
      </c>
      <c r="F176" s="3">
        <v>289</v>
      </c>
      <c r="G176" s="3">
        <v>279</v>
      </c>
      <c r="H176" s="3">
        <v>10</v>
      </c>
      <c r="I176" s="5">
        <f t="shared" si="12"/>
        <v>3.4602076124567477E-2</v>
      </c>
      <c r="J176" s="6">
        <f t="shared" si="17"/>
        <v>34602.07612456748</v>
      </c>
      <c r="K176" s="7">
        <v>1.25</v>
      </c>
      <c r="L176" s="3">
        <v>403</v>
      </c>
      <c r="M176" s="3">
        <v>450</v>
      </c>
      <c r="N176" s="3">
        <v>47</v>
      </c>
      <c r="O176" s="5">
        <f t="shared" si="13"/>
        <v>0.89555555555555555</v>
      </c>
      <c r="P176" s="5">
        <f t="shared" si="14"/>
        <v>0.89640198511166258</v>
      </c>
      <c r="Q176" s="5">
        <f t="shared" si="15"/>
        <v>0.96539792387543255</v>
      </c>
      <c r="R176" s="5">
        <f t="shared" si="16"/>
        <v>0.77500000000000002</v>
      </c>
    </row>
    <row r="177" spans="1:18" x14ac:dyDescent="0.25">
      <c r="A177" s="3">
        <v>173</v>
      </c>
      <c r="B177" s="4">
        <v>46215</v>
      </c>
      <c r="C177" s="3" t="s">
        <v>28</v>
      </c>
      <c r="D177" s="3" t="s">
        <v>21</v>
      </c>
      <c r="E177" s="3" t="s">
        <v>34</v>
      </c>
      <c r="F177" s="3">
        <v>254</v>
      </c>
      <c r="G177" s="3">
        <v>245</v>
      </c>
      <c r="H177" s="3">
        <v>9</v>
      </c>
      <c r="I177" s="5">
        <f t="shared" si="12"/>
        <v>3.5433070866141732E-2</v>
      </c>
      <c r="J177" s="6">
        <f t="shared" si="17"/>
        <v>35433.07086614173</v>
      </c>
      <c r="K177" s="7">
        <v>1.66</v>
      </c>
      <c r="L177" s="3">
        <v>414</v>
      </c>
      <c r="M177" s="3">
        <v>450</v>
      </c>
      <c r="N177" s="3">
        <v>36</v>
      </c>
      <c r="O177" s="5">
        <f t="shared" si="13"/>
        <v>0.92</v>
      </c>
      <c r="P177" s="5">
        <f t="shared" si="14"/>
        <v>1.0184541062801933</v>
      </c>
      <c r="Q177" s="5">
        <f t="shared" si="15"/>
        <v>0.96456692913385822</v>
      </c>
      <c r="R177" s="5">
        <f t="shared" si="16"/>
        <v>0.9037777777777779</v>
      </c>
    </row>
    <row r="178" spans="1:18" x14ac:dyDescent="0.25">
      <c r="A178" s="3">
        <v>174</v>
      </c>
      <c r="B178" s="4">
        <v>46215</v>
      </c>
      <c r="C178" s="3" t="s">
        <v>28</v>
      </c>
      <c r="D178" s="3" t="s">
        <v>23</v>
      </c>
      <c r="E178" s="3" t="s">
        <v>29</v>
      </c>
      <c r="F178" s="3">
        <v>201</v>
      </c>
      <c r="G178" s="3">
        <v>194</v>
      </c>
      <c r="H178" s="3">
        <v>7</v>
      </c>
      <c r="I178" s="5">
        <f t="shared" si="12"/>
        <v>3.482587064676617E-2</v>
      </c>
      <c r="J178" s="6">
        <f t="shared" si="17"/>
        <v>34825.870646766169</v>
      </c>
      <c r="K178" s="7">
        <v>1.61</v>
      </c>
      <c r="L178" s="3">
        <v>402</v>
      </c>
      <c r="M178" s="3">
        <v>450</v>
      </c>
      <c r="N178" s="3">
        <v>48</v>
      </c>
      <c r="O178" s="5">
        <f t="shared" si="13"/>
        <v>0.89333333333333331</v>
      </c>
      <c r="P178" s="5">
        <f t="shared" si="14"/>
        <v>0.80500000000000005</v>
      </c>
      <c r="Q178" s="5">
        <f t="shared" si="15"/>
        <v>0.96517412935323388</v>
      </c>
      <c r="R178" s="5">
        <f t="shared" si="16"/>
        <v>0.69408888888888898</v>
      </c>
    </row>
    <row r="179" spans="1:18" x14ac:dyDescent="0.25">
      <c r="A179" s="3">
        <v>175</v>
      </c>
      <c r="B179" s="4">
        <v>46215</v>
      </c>
      <c r="C179" s="3" t="s">
        <v>30</v>
      </c>
      <c r="D179" s="3" t="s">
        <v>19</v>
      </c>
      <c r="E179" s="3" t="s">
        <v>27</v>
      </c>
      <c r="F179" s="3">
        <v>386</v>
      </c>
      <c r="G179" s="3">
        <v>369</v>
      </c>
      <c r="H179" s="3">
        <v>17</v>
      </c>
      <c r="I179" s="5">
        <f t="shared" si="12"/>
        <v>4.4041450777202069E-2</v>
      </c>
      <c r="J179" s="6">
        <f t="shared" si="17"/>
        <v>44041.450777202066</v>
      </c>
      <c r="K179" s="7">
        <v>0.99</v>
      </c>
      <c r="L179" s="3">
        <v>406</v>
      </c>
      <c r="M179" s="3">
        <v>450</v>
      </c>
      <c r="N179" s="3">
        <v>44</v>
      </c>
      <c r="O179" s="5">
        <f t="shared" si="13"/>
        <v>0.90222222222222226</v>
      </c>
      <c r="P179" s="5">
        <f t="shared" si="14"/>
        <v>0.94123152709359603</v>
      </c>
      <c r="Q179" s="5">
        <f t="shared" si="15"/>
        <v>0.95595854922279788</v>
      </c>
      <c r="R179" s="5">
        <f t="shared" si="16"/>
        <v>0.81179999999999997</v>
      </c>
    </row>
    <row r="180" spans="1:18" x14ac:dyDescent="0.25">
      <c r="A180" s="3">
        <v>176</v>
      </c>
      <c r="B180" s="4">
        <v>46215</v>
      </c>
      <c r="C180" s="3" t="s">
        <v>30</v>
      </c>
      <c r="D180" s="3" t="s">
        <v>21</v>
      </c>
      <c r="E180" s="3" t="s">
        <v>24</v>
      </c>
      <c r="F180" s="3">
        <v>197</v>
      </c>
      <c r="G180" s="3">
        <v>190</v>
      </c>
      <c r="H180" s="3">
        <v>7</v>
      </c>
      <c r="I180" s="5">
        <f t="shared" si="12"/>
        <v>3.553299492385787E-2</v>
      </c>
      <c r="J180" s="6">
        <f t="shared" si="17"/>
        <v>35532.99492385787</v>
      </c>
      <c r="K180" s="7">
        <v>1.78</v>
      </c>
      <c r="L180" s="3">
        <v>412</v>
      </c>
      <c r="M180" s="3">
        <v>450</v>
      </c>
      <c r="N180" s="3">
        <v>38</v>
      </c>
      <c r="O180" s="5">
        <f t="shared" si="13"/>
        <v>0.91555555555555557</v>
      </c>
      <c r="P180" s="5">
        <f t="shared" si="14"/>
        <v>0.85111650485436896</v>
      </c>
      <c r="Q180" s="5">
        <f t="shared" si="15"/>
        <v>0.96446700507614214</v>
      </c>
      <c r="R180" s="5">
        <f t="shared" si="16"/>
        <v>0.75155555555555564</v>
      </c>
    </row>
    <row r="181" spans="1:18" x14ac:dyDescent="0.25">
      <c r="A181" s="3">
        <v>177</v>
      </c>
      <c r="B181" s="4">
        <v>46215</v>
      </c>
      <c r="C181" s="3" t="s">
        <v>30</v>
      </c>
      <c r="D181" s="3" t="s">
        <v>23</v>
      </c>
      <c r="E181" s="3" t="s">
        <v>29</v>
      </c>
      <c r="F181" s="3">
        <v>229</v>
      </c>
      <c r="G181" s="3">
        <v>228</v>
      </c>
      <c r="H181" s="3">
        <v>1</v>
      </c>
      <c r="I181" s="5">
        <f t="shared" si="12"/>
        <v>4.3668122270742356E-3</v>
      </c>
      <c r="J181" s="6">
        <f t="shared" si="17"/>
        <v>4366.812227074236</v>
      </c>
      <c r="K181" s="7">
        <v>1.44</v>
      </c>
      <c r="L181" s="3">
        <v>407</v>
      </c>
      <c r="M181" s="3">
        <v>450</v>
      </c>
      <c r="N181" s="3">
        <v>43</v>
      </c>
      <c r="O181" s="5">
        <f t="shared" si="13"/>
        <v>0.9044444444444445</v>
      </c>
      <c r="P181" s="5">
        <f t="shared" si="14"/>
        <v>0.81022113022113018</v>
      </c>
      <c r="Q181" s="5">
        <f t="shared" si="15"/>
        <v>0.99563318777292575</v>
      </c>
      <c r="R181" s="5">
        <f t="shared" si="16"/>
        <v>0.72960000000000003</v>
      </c>
    </row>
    <row r="182" spans="1:18" x14ac:dyDescent="0.25">
      <c r="A182" s="3">
        <v>178</v>
      </c>
      <c r="B182" s="4">
        <v>46215</v>
      </c>
      <c r="C182" s="3" t="s">
        <v>33</v>
      </c>
      <c r="D182" s="3" t="s">
        <v>19</v>
      </c>
      <c r="E182" s="3" t="s">
        <v>31</v>
      </c>
      <c r="F182" s="3">
        <v>258</v>
      </c>
      <c r="G182" s="3">
        <v>247</v>
      </c>
      <c r="H182" s="3">
        <v>11</v>
      </c>
      <c r="I182" s="5">
        <f t="shared" si="12"/>
        <v>4.2635658914728682E-2</v>
      </c>
      <c r="J182" s="6">
        <f t="shared" si="17"/>
        <v>42635.65891472868</v>
      </c>
      <c r="K182" s="7">
        <v>1.48</v>
      </c>
      <c r="L182" s="3">
        <v>424</v>
      </c>
      <c r="M182" s="3">
        <v>450</v>
      </c>
      <c r="N182" s="3">
        <v>26</v>
      </c>
      <c r="O182" s="5">
        <f t="shared" si="13"/>
        <v>0.94222222222222218</v>
      </c>
      <c r="P182" s="5">
        <f t="shared" si="14"/>
        <v>0.90056603773584898</v>
      </c>
      <c r="Q182" s="5">
        <f t="shared" si="15"/>
        <v>0.95736434108527135</v>
      </c>
      <c r="R182" s="5">
        <f t="shared" si="16"/>
        <v>0.8123555555555555</v>
      </c>
    </row>
    <row r="183" spans="1:18" x14ac:dyDescent="0.25">
      <c r="A183" s="3">
        <v>179</v>
      </c>
      <c r="B183" s="4">
        <v>46215</v>
      </c>
      <c r="C183" s="3" t="s">
        <v>33</v>
      </c>
      <c r="D183" s="3" t="s">
        <v>21</v>
      </c>
      <c r="E183" s="3" t="s">
        <v>32</v>
      </c>
      <c r="F183" s="3">
        <v>368</v>
      </c>
      <c r="G183" s="3">
        <v>355</v>
      </c>
      <c r="H183" s="3">
        <v>13</v>
      </c>
      <c r="I183" s="5">
        <f t="shared" si="12"/>
        <v>3.5326086956521736E-2</v>
      </c>
      <c r="J183" s="6">
        <f t="shared" si="17"/>
        <v>35326.086956521736</v>
      </c>
      <c r="K183" s="7">
        <v>1.02</v>
      </c>
      <c r="L183" s="3">
        <v>426</v>
      </c>
      <c r="M183" s="3">
        <v>450</v>
      </c>
      <c r="N183" s="3">
        <v>24</v>
      </c>
      <c r="O183" s="5">
        <f t="shared" si="13"/>
        <v>0.94666666666666666</v>
      </c>
      <c r="P183" s="5">
        <f t="shared" si="14"/>
        <v>0.88112676056338035</v>
      </c>
      <c r="Q183" s="5">
        <f t="shared" si="15"/>
        <v>0.96467391304347827</v>
      </c>
      <c r="R183" s="5">
        <f t="shared" si="16"/>
        <v>0.80466666666666675</v>
      </c>
    </row>
    <row r="184" spans="1:18" x14ac:dyDescent="0.25">
      <c r="A184" s="3">
        <v>180</v>
      </c>
      <c r="B184" s="4">
        <v>46215</v>
      </c>
      <c r="C184" s="3" t="s">
        <v>33</v>
      </c>
      <c r="D184" s="3" t="s">
        <v>23</v>
      </c>
      <c r="E184" s="3" t="s">
        <v>26</v>
      </c>
      <c r="F184" s="3">
        <v>754</v>
      </c>
      <c r="G184" s="3">
        <v>726</v>
      </c>
      <c r="H184" s="3">
        <v>28</v>
      </c>
      <c r="I184" s="5">
        <f t="shared" si="12"/>
        <v>3.7135278514588858E-2</v>
      </c>
      <c r="J184" s="6">
        <f t="shared" si="17"/>
        <v>37135.278514588856</v>
      </c>
      <c r="K184" s="7">
        <v>0.47</v>
      </c>
      <c r="L184" s="3">
        <v>386</v>
      </c>
      <c r="M184" s="3">
        <v>450</v>
      </c>
      <c r="N184" s="3">
        <v>64</v>
      </c>
      <c r="O184" s="5">
        <f t="shared" si="13"/>
        <v>0.85777777777777775</v>
      </c>
      <c r="P184" s="5">
        <f t="shared" si="14"/>
        <v>0.91808290155440408</v>
      </c>
      <c r="Q184" s="5">
        <f t="shared" si="15"/>
        <v>0.96286472148541113</v>
      </c>
      <c r="R184" s="5">
        <f t="shared" si="16"/>
        <v>0.75826666666666664</v>
      </c>
    </row>
    <row r="185" spans="1:18" x14ac:dyDescent="0.25">
      <c r="A185" s="3">
        <v>181</v>
      </c>
      <c r="B185" s="4">
        <v>46216</v>
      </c>
      <c r="C185" s="3" t="s">
        <v>18</v>
      </c>
      <c r="D185" s="3" t="s">
        <v>19</v>
      </c>
      <c r="E185" s="3" t="s">
        <v>29</v>
      </c>
      <c r="F185" s="3">
        <v>195</v>
      </c>
      <c r="G185" s="3">
        <v>191</v>
      </c>
      <c r="H185" s="3">
        <v>4</v>
      </c>
      <c r="I185" s="5">
        <f t="shared" si="12"/>
        <v>2.0512820512820513E-2</v>
      </c>
      <c r="J185" s="6">
        <f t="shared" si="17"/>
        <v>20512.820512820512</v>
      </c>
      <c r="K185" s="7">
        <v>1.69</v>
      </c>
      <c r="L185" s="3">
        <v>418</v>
      </c>
      <c r="M185" s="3">
        <v>450</v>
      </c>
      <c r="N185" s="3">
        <v>32</v>
      </c>
      <c r="O185" s="5">
        <f t="shared" si="13"/>
        <v>0.92888888888888888</v>
      </c>
      <c r="P185" s="5">
        <f t="shared" si="14"/>
        <v>0.78839712918660287</v>
      </c>
      <c r="Q185" s="5">
        <f t="shared" si="15"/>
        <v>0.97948717948717945</v>
      </c>
      <c r="R185" s="5">
        <f t="shared" si="16"/>
        <v>0.71731111111111101</v>
      </c>
    </row>
    <row r="186" spans="1:18" x14ac:dyDescent="0.25">
      <c r="A186" s="3">
        <v>182</v>
      </c>
      <c r="B186" s="4">
        <v>46216</v>
      </c>
      <c r="C186" s="3" t="s">
        <v>18</v>
      </c>
      <c r="D186" s="3" t="s">
        <v>21</v>
      </c>
      <c r="E186" s="3" t="s">
        <v>26</v>
      </c>
      <c r="F186" s="3">
        <v>759</v>
      </c>
      <c r="G186" s="3">
        <v>735</v>
      </c>
      <c r="H186" s="3">
        <v>24</v>
      </c>
      <c r="I186" s="5">
        <f t="shared" si="12"/>
        <v>3.1620553359683792E-2</v>
      </c>
      <c r="J186" s="6">
        <f t="shared" si="17"/>
        <v>31620.553359683792</v>
      </c>
      <c r="K186" s="7">
        <v>0.42</v>
      </c>
      <c r="L186" s="3">
        <v>395</v>
      </c>
      <c r="M186" s="3">
        <v>450</v>
      </c>
      <c r="N186" s="3">
        <v>55</v>
      </c>
      <c r="O186" s="5">
        <f t="shared" si="13"/>
        <v>0.87777777777777777</v>
      </c>
      <c r="P186" s="5">
        <f t="shared" si="14"/>
        <v>0.80703797468354421</v>
      </c>
      <c r="Q186" s="5">
        <f t="shared" si="15"/>
        <v>0.96837944664031617</v>
      </c>
      <c r="R186" s="5">
        <f t="shared" si="16"/>
        <v>0.68599999999999994</v>
      </c>
    </row>
    <row r="187" spans="1:18" x14ac:dyDescent="0.25">
      <c r="A187" s="3">
        <v>183</v>
      </c>
      <c r="B187" s="4">
        <v>46216</v>
      </c>
      <c r="C187" s="3" t="s">
        <v>18</v>
      </c>
      <c r="D187" s="3" t="s">
        <v>23</v>
      </c>
      <c r="E187" s="3" t="s">
        <v>24</v>
      </c>
      <c r="F187" s="3">
        <v>292</v>
      </c>
      <c r="G187" s="3">
        <v>282</v>
      </c>
      <c r="H187" s="3">
        <v>10</v>
      </c>
      <c r="I187" s="5">
        <f t="shared" si="12"/>
        <v>3.4246575342465752E-2</v>
      </c>
      <c r="J187" s="6">
        <f t="shared" si="17"/>
        <v>34246.575342465752</v>
      </c>
      <c r="K187" s="7">
        <v>1.38</v>
      </c>
      <c r="L187" s="3">
        <v>405</v>
      </c>
      <c r="M187" s="3">
        <v>450</v>
      </c>
      <c r="N187" s="3">
        <v>45</v>
      </c>
      <c r="O187" s="5">
        <f t="shared" si="13"/>
        <v>0.9</v>
      </c>
      <c r="P187" s="5">
        <f t="shared" si="14"/>
        <v>0.99496296296296294</v>
      </c>
      <c r="Q187" s="5">
        <f t="shared" si="15"/>
        <v>0.96575342465753422</v>
      </c>
      <c r="R187" s="5">
        <f t="shared" si="16"/>
        <v>0.8647999999999999</v>
      </c>
    </row>
    <row r="188" spans="1:18" x14ac:dyDescent="0.25">
      <c r="A188" s="3">
        <v>184</v>
      </c>
      <c r="B188" s="4">
        <v>46216</v>
      </c>
      <c r="C188" s="3" t="s">
        <v>25</v>
      </c>
      <c r="D188" s="3" t="s">
        <v>19</v>
      </c>
      <c r="E188" s="3" t="s">
        <v>32</v>
      </c>
      <c r="F188" s="3">
        <v>208</v>
      </c>
      <c r="G188" s="3">
        <v>205</v>
      </c>
      <c r="H188" s="3">
        <v>3</v>
      </c>
      <c r="I188" s="5">
        <f t="shared" si="12"/>
        <v>1.4423076923076924E-2</v>
      </c>
      <c r="J188" s="6">
        <f t="shared" si="17"/>
        <v>14423.076923076924</v>
      </c>
      <c r="K188" s="7">
        <v>1.51</v>
      </c>
      <c r="L188" s="3">
        <v>398</v>
      </c>
      <c r="M188" s="3">
        <v>450</v>
      </c>
      <c r="N188" s="3">
        <v>52</v>
      </c>
      <c r="O188" s="5">
        <f t="shared" si="13"/>
        <v>0.88444444444444448</v>
      </c>
      <c r="P188" s="5">
        <f t="shared" si="14"/>
        <v>0.78914572864321608</v>
      </c>
      <c r="Q188" s="5">
        <f t="shared" si="15"/>
        <v>0.98557692307692313</v>
      </c>
      <c r="R188" s="5">
        <f t="shared" si="16"/>
        <v>0.68788888888888888</v>
      </c>
    </row>
    <row r="189" spans="1:18" x14ac:dyDescent="0.25">
      <c r="A189" s="3">
        <v>185</v>
      </c>
      <c r="B189" s="4">
        <v>46216</v>
      </c>
      <c r="C189" s="3" t="s">
        <v>25</v>
      </c>
      <c r="D189" s="3" t="s">
        <v>21</v>
      </c>
      <c r="E189" s="3" t="s">
        <v>35</v>
      </c>
      <c r="F189" s="3">
        <v>269</v>
      </c>
      <c r="G189" s="3">
        <v>262</v>
      </c>
      <c r="H189" s="3">
        <v>7</v>
      </c>
      <c r="I189" s="5">
        <f t="shared" si="12"/>
        <v>2.6022304832713755E-2</v>
      </c>
      <c r="J189" s="6">
        <f t="shared" si="17"/>
        <v>26022.304832713755</v>
      </c>
      <c r="K189" s="7">
        <v>1.25</v>
      </c>
      <c r="L189" s="3">
        <v>431</v>
      </c>
      <c r="M189" s="3">
        <v>450</v>
      </c>
      <c r="N189" s="3">
        <v>19</v>
      </c>
      <c r="O189" s="5">
        <f t="shared" si="13"/>
        <v>0.95777777777777773</v>
      </c>
      <c r="P189" s="5">
        <f t="shared" si="14"/>
        <v>0.78016241299303946</v>
      </c>
      <c r="Q189" s="5">
        <f t="shared" si="15"/>
        <v>0.97397769516728627</v>
      </c>
      <c r="R189" s="5">
        <f t="shared" si="16"/>
        <v>0.72777777777777786</v>
      </c>
    </row>
    <row r="190" spans="1:18" x14ac:dyDescent="0.25">
      <c r="A190" s="3">
        <v>186</v>
      </c>
      <c r="B190" s="4">
        <v>46216</v>
      </c>
      <c r="C190" s="3" t="s">
        <v>25</v>
      </c>
      <c r="D190" s="3" t="s">
        <v>23</v>
      </c>
      <c r="E190" s="3" t="s">
        <v>34</v>
      </c>
      <c r="F190" s="3">
        <v>232</v>
      </c>
      <c r="G190" s="3">
        <v>227</v>
      </c>
      <c r="H190" s="3">
        <v>5</v>
      </c>
      <c r="I190" s="5">
        <f t="shared" si="12"/>
        <v>2.1551724137931036E-2</v>
      </c>
      <c r="J190" s="6">
        <f t="shared" si="17"/>
        <v>21551.724137931036</v>
      </c>
      <c r="K190" s="7">
        <v>1.33</v>
      </c>
      <c r="L190" s="3">
        <v>393</v>
      </c>
      <c r="M190" s="3">
        <v>450</v>
      </c>
      <c r="N190" s="3">
        <v>57</v>
      </c>
      <c r="O190" s="5">
        <f t="shared" si="13"/>
        <v>0.87333333333333329</v>
      </c>
      <c r="P190" s="5">
        <f t="shared" si="14"/>
        <v>0.78513994910941476</v>
      </c>
      <c r="Q190" s="5">
        <f t="shared" si="15"/>
        <v>0.97844827586206895</v>
      </c>
      <c r="R190" s="5">
        <f t="shared" si="16"/>
        <v>0.67091111111111112</v>
      </c>
    </row>
    <row r="191" spans="1:18" x14ac:dyDescent="0.25">
      <c r="A191" s="3">
        <v>187</v>
      </c>
      <c r="B191" s="4">
        <v>46216</v>
      </c>
      <c r="C191" s="3" t="s">
        <v>28</v>
      </c>
      <c r="D191" s="3" t="s">
        <v>19</v>
      </c>
      <c r="E191" s="3" t="s">
        <v>29</v>
      </c>
      <c r="F191" s="3">
        <v>207</v>
      </c>
      <c r="G191" s="3">
        <v>199</v>
      </c>
      <c r="H191" s="3">
        <v>8</v>
      </c>
      <c r="I191" s="5">
        <f t="shared" si="12"/>
        <v>3.864734299516908E-2</v>
      </c>
      <c r="J191" s="6">
        <f t="shared" si="17"/>
        <v>38647.342995169078</v>
      </c>
      <c r="K191" s="7">
        <v>1.65</v>
      </c>
      <c r="L191" s="3">
        <v>408</v>
      </c>
      <c r="M191" s="3">
        <v>450</v>
      </c>
      <c r="N191" s="3">
        <v>42</v>
      </c>
      <c r="O191" s="5">
        <f t="shared" si="13"/>
        <v>0.90666666666666662</v>
      </c>
      <c r="P191" s="5">
        <f t="shared" si="14"/>
        <v>0.83713235294117638</v>
      </c>
      <c r="Q191" s="5">
        <f t="shared" si="15"/>
        <v>0.96135265700483097</v>
      </c>
      <c r="R191" s="5">
        <f t="shared" si="16"/>
        <v>0.72966666666666657</v>
      </c>
    </row>
    <row r="192" spans="1:18" x14ac:dyDescent="0.25">
      <c r="A192" s="3">
        <v>188</v>
      </c>
      <c r="B192" s="4">
        <v>46216</v>
      </c>
      <c r="C192" s="3" t="s">
        <v>28</v>
      </c>
      <c r="D192" s="3" t="s">
        <v>21</v>
      </c>
      <c r="E192" s="3" t="s">
        <v>34</v>
      </c>
      <c r="F192" s="3">
        <v>473</v>
      </c>
      <c r="G192" s="3">
        <v>466</v>
      </c>
      <c r="H192" s="3">
        <v>7</v>
      </c>
      <c r="I192" s="5">
        <f t="shared" si="12"/>
        <v>1.4799154334038054E-2</v>
      </c>
      <c r="J192" s="6">
        <f t="shared" si="17"/>
        <v>14799.154334038054</v>
      </c>
      <c r="K192" s="7">
        <v>0.85</v>
      </c>
      <c r="L192" s="3">
        <v>405</v>
      </c>
      <c r="M192" s="3">
        <v>450</v>
      </c>
      <c r="N192" s="3">
        <v>45</v>
      </c>
      <c r="O192" s="5">
        <f t="shared" si="13"/>
        <v>0.9</v>
      </c>
      <c r="P192" s="5">
        <f t="shared" si="14"/>
        <v>0.99271604938271607</v>
      </c>
      <c r="Q192" s="5">
        <f t="shared" si="15"/>
        <v>0.985200845665962</v>
      </c>
      <c r="R192" s="5">
        <f t="shared" si="16"/>
        <v>0.88022222222222235</v>
      </c>
    </row>
    <row r="193" spans="1:18" x14ac:dyDescent="0.25">
      <c r="A193" s="3">
        <v>189</v>
      </c>
      <c r="B193" s="4">
        <v>46216</v>
      </c>
      <c r="C193" s="3" t="s">
        <v>28</v>
      </c>
      <c r="D193" s="3" t="s">
        <v>23</v>
      </c>
      <c r="E193" s="3" t="s">
        <v>20</v>
      </c>
      <c r="F193" s="3">
        <v>293</v>
      </c>
      <c r="G193" s="3">
        <v>281</v>
      </c>
      <c r="H193" s="3">
        <v>12</v>
      </c>
      <c r="I193" s="5">
        <f t="shared" si="12"/>
        <v>4.0955631399317405E-2</v>
      </c>
      <c r="J193" s="6">
        <f t="shared" si="17"/>
        <v>40955.631399317404</v>
      </c>
      <c r="K193" s="7">
        <v>1.21</v>
      </c>
      <c r="L193" s="3">
        <v>418</v>
      </c>
      <c r="M193" s="3">
        <v>450</v>
      </c>
      <c r="N193" s="3">
        <v>32</v>
      </c>
      <c r="O193" s="5">
        <f t="shared" si="13"/>
        <v>0.92888888888888888</v>
      </c>
      <c r="P193" s="5">
        <f t="shared" si="14"/>
        <v>0.848157894736842</v>
      </c>
      <c r="Q193" s="5">
        <f t="shared" si="15"/>
        <v>0.95904436860068254</v>
      </c>
      <c r="R193" s="5">
        <f t="shared" si="16"/>
        <v>0.75557777777777768</v>
      </c>
    </row>
    <row r="194" spans="1:18" x14ac:dyDescent="0.25">
      <c r="A194" s="3">
        <v>190</v>
      </c>
      <c r="B194" s="4">
        <v>46216</v>
      </c>
      <c r="C194" s="3" t="s">
        <v>30</v>
      </c>
      <c r="D194" s="3" t="s">
        <v>19</v>
      </c>
      <c r="E194" s="3" t="s">
        <v>26</v>
      </c>
      <c r="F194" s="3">
        <v>544</v>
      </c>
      <c r="G194" s="3">
        <v>535</v>
      </c>
      <c r="H194" s="3">
        <v>9</v>
      </c>
      <c r="I194" s="5">
        <f t="shared" si="12"/>
        <v>1.6544117647058824E-2</v>
      </c>
      <c r="J194" s="6">
        <f t="shared" si="17"/>
        <v>16544.117647058825</v>
      </c>
      <c r="K194" s="7">
        <v>0.62</v>
      </c>
      <c r="L194" s="3">
        <v>421</v>
      </c>
      <c r="M194" s="3">
        <v>450</v>
      </c>
      <c r="N194" s="3">
        <v>29</v>
      </c>
      <c r="O194" s="5">
        <f t="shared" si="13"/>
        <v>0.93555555555555558</v>
      </c>
      <c r="P194" s="5">
        <f t="shared" si="14"/>
        <v>0.80114014251781462</v>
      </c>
      <c r="Q194" s="5">
        <f t="shared" si="15"/>
        <v>0.98345588235294112</v>
      </c>
      <c r="R194" s="5">
        <f t="shared" si="16"/>
        <v>0.73711111111111094</v>
      </c>
    </row>
    <row r="195" spans="1:18" x14ac:dyDescent="0.25">
      <c r="A195" s="3">
        <v>191</v>
      </c>
      <c r="B195" s="4">
        <v>46216</v>
      </c>
      <c r="C195" s="3" t="s">
        <v>30</v>
      </c>
      <c r="D195" s="3" t="s">
        <v>21</v>
      </c>
      <c r="E195" s="3" t="s">
        <v>26</v>
      </c>
      <c r="F195" s="3">
        <v>311</v>
      </c>
      <c r="G195" s="3">
        <v>306</v>
      </c>
      <c r="H195" s="3">
        <v>5</v>
      </c>
      <c r="I195" s="5">
        <f t="shared" si="12"/>
        <v>1.607717041800643E-2</v>
      </c>
      <c r="J195" s="6">
        <f t="shared" si="17"/>
        <v>16077.17041800643</v>
      </c>
      <c r="K195" s="7">
        <v>1.39</v>
      </c>
      <c r="L195" s="3">
        <v>420</v>
      </c>
      <c r="M195" s="3">
        <v>450</v>
      </c>
      <c r="N195" s="3">
        <v>30</v>
      </c>
      <c r="O195" s="5">
        <f t="shared" si="13"/>
        <v>0.93333333333333335</v>
      </c>
      <c r="P195" s="5">
        <f t="shared" si="14"/>
        <v>1.0292619047619047</v>
      </c>
      <c r="Q195" s="5">
        <f t="shared" si="15"/>
        <v>0.98392282958199362</v>
      </c>
      <c r="R195" s="5">
        <f t="shared" si="16"/>
        <v>0.94520000000000004</v>
      </c>
    </row>
    <row r="196" spans="1:18" x14ac:dyDescent="0.25">
      <c r="A196" s="3">
        <v>192</v>
      </c>
      <c r="B196" s="4">
        <v>46216</v>
      </c>
      <c r="C196" s="3" t="s">
        <v>30</v>
      </c>
      <c r="D196" s="3" t="s">
        <v>23</v>
      </c>
      <c r="E196" s="3" t="s">
        <v>20</v>
      </c>
      <c r="F196" s="3">
        <v>343</v>
      </c>
      <c r="G196" s="3">
        <v>334</v>
      </c>
      <c r="H196" s="3">
        <v>9</v>
      </c>
      <c r="I196" s="5">
        <f t="shared" si="12"/>
        <v>2.6239067055393587E-2</v>
      </c>
      <c r="J196" s="6">
        <f t="shared" si="17"/>
        <v>26239.067055393585</v>
      </c>
      <c r="K196" s="7">
        <v>0.94</v>
      </c>
      <c r="L196" s="3">
        <v>396</v>
      </c>
      <c r="M196" s="3">
        <v>450</v>
      </c>
      <c r="N196" s="3">
        <v>54</v>
      </c>
      <c r="O196" s="5">
        <f t="shared" si="13"/>
        <v>0.88</v>
      </c>
      <c r="P196" s="5">
        <f t="shared" si="14"/>
        <v>0.81419191919191913</v>
      </c>
      <c r="Q196" s="5">
        <f t="shared" si="15"/>
        <v>0.97376093294460642</v>
      </c>
      <c r="R196" s="5">
        <f t="shared" si="16"/>
        <v>0.6976888888888888</v>
      </c>
    </row>
    <row r="197" spans="1:18" x14ac:dyDescent="0.25">
      <c r="A197" s="3">
        <v>193</v>
      </c>
      <c r="B197" s="4">
        <v>46216</v>
      </c>
      <c r="C197" s="3" t="s">
        <v>33</v>
      </c>
      <c r="D197" s="3" t="s">
        <v>19</v>
      </c>
      <c r="E197" s="3" t="s">
        <v>35</v>
      </c>
      <c r="F197" s="3">
        <v>202</v>
      </c>
      <c r="G197" s="3">
        <v>198</v>
      </c>
      <c r="H197" s="3">
        <v>4</v>
      </c>
      <c r="I197" s="5">
        <f t="shared" ref="I197:I260" si="18">IFERROR(H197/F197,0)</f>
        <v>1.9801980198019802E-2</v>
      </c>
      <c r="J197" s="6">
        <f t="shared" si="17"/>
        <v>19801.980198019803</v>
      </c>
      <c r="K197" s="7">
        <v>1.8</v>
      </c>
      <c r="L197" s="3">
        <v>393</v>
      </c>
      <c r="M197" s="3">
        <v>450</v>
      </c>
      <c r="N197" s="3">
        <v>57</v>
      </c>
      <c r="O197" s="5">
        <f t="shared" ref="O197:O260" si="19">IFERROR(L197/M197,0)</f>
        <v>0.87333333333333329</v>
      </c>
      <c r="P197" s="5">
        <f t="shared" ref="P197:P260" si="20">IFERROR(F197*K197/L197,0)</f>
        <v>0.92519083969465654</v>
      </c>
      <c r="Q197" s="5">
        <f t="shared" ref="Q197:Q260" si="21">IFERROR(G197/F197,0)</f>
        <v>0.98019801980198018</v>
      </c>
      <c r="R197" s="5">
        <f t="shared" ref="R197:R260" si="22">O197*P197*Q197</f>
        <v>0.79200000000000004</v>
      </c>
    </row>
    <row r="198" spans="1:18" x14ac:dyDescent="0.25">
      <c r="A198" s="3">
        <v>194</v>
      </c>
      <c r="B198" s="4">
        <v>46216</v>
      </c>
      <c r="C198" s="3" t="s">
        <v>33</v>
      </c>
      <c r="D198" s="3" t="s">
        <v>21</v>
      </c>
      <c r="E198" s="3" t="s">
        <v>22</v>
      </c>
      <c r="F198" s="3">
        <v>216</v>
      </c>
      <c r="G198" s="3">
        <v>214</v>
      </c>
      <c r="H198" s="3">
        <v>2</v>
      </c>
      <c r="I198" s="5">
        <f t="shared" si="18"/>
        <v>9.2592592592592587E-3</v>
      </c>
      <c r="J198" s="6">
        <f t="shared" ref="J198:J261" si="23">H198/F198*1000000</f>
        <v>9259.2592592592591</v>
      </c>
      <c r="K198" s="7">
        <v>1.68</v>
      </c>
      <c r="L198" s="3">
        <v>403</v>
      </c>
      <c r="M198" s="3">
        <v>450</v>
      </c>
      <c r="N198" s="3">
        <v>47</v>
      </c>
      <c r="O198" s="5">
        <f t="shared" si="19"/>
        <v>0.89555555555555555</v>
      </c>
      <c r="P198" s="5">
        <f t="shared" si="20"/>
        <v>0.90044665012406944</v>
      </c>
      <c r="Q198" s="5">
        <f t="shared" si="21"/>
        <v>0.9907407407407407</v>
      </c>
      <c r="R198" s="5">
        <f t="shared" si="22"/>
        <v>0.79893333333333327</v>
      </c>
    </row>
    <row r="199" spans="1:18" x14ac:dyDescent="0.25">
      <c r="A199" s="3">
        <v>195</v>
      </c>
      <c r="B199" s="4">
        <v>46216</v>
      </c>
      <c r="C199" s="3" t="s">
        <v>33</v>
      </c>
      <c r="D199" s="3" t="s">
        <v>23</v>
      </c>
      <c r="E199" s="3" t="s">
        <v>31</v>
      </c>
      <c r="F199" s="3">
        <v>415</v>
      </c>
      <c r="G199" s="3">
        <v>413</v>
      </c>
      <c r="H199" s="3">
        <v>2</v>
      </c>
      <c r="I199" s="5">
        <f t="shared" si="18"/>
        <v>4.8192771084337354E-3</v>
      </c>
      <c r="J199" s="6">
        <f t="shared" si="23"/>
        <v>4819.2771084337355</v>
      </c>
      <c r="K199" s="7">
        <v>0.88</v>
      </c>
      <c r="L199" s="3">
        <v>440</v>
      </c>
      <c r="M199" s="3">
        <v>450</v>
      </c>
      <c r="N199" s="3">
        <v>10</v>
      </c>
      <c r="O199" s="5">
        <f t="shared" si="19"/>
        <v>0.97777777777777775</v>
      </c>
      <c r="P199" s="5">
        <f t="shared" si="20"/>
        <v>0.83</v>
      </c>
      <c r="Q199" s="5">
        <f t="shared" si="21"/>
        <v>0.99518072289156623</v>
      </c>
      <c r="R199" s="5">
        <f t="shared" si="22"/>
        <v>0.80764444444444439</v>
      </c>
    </row>
    <row r="200" spans="1:18" x14ac:dyDescent="0.25">
      <c r="A200" s="3">
        <v>196</v>
      </c>
      <c r="B200" s="4">
        <v>46217</v>
      </c>
      <c r="C200" s="3" t="s">
        <v>18</v>
      </c>
      <c r="D200" s="3" t="s">
        <v>19</v>
      </c>
      <c r="E200" s="3" t="s">
        <v>29</v>
      </c>
      <c r="F200" s="3">
        <v>409</v>
      </c>
      <c r="G200" s="3">
        <v>402</v>
      </c>
      <c r="H200" s="3">
        <v>7</v>
      </c>
      <c r="I200" s="5">
        <f t="shared" si="18"/>
        <v>1.7114914425427872E-2</v>
      </c>
      <c r="J200" s="6">
        <f t="shared" si="23"/>
        <v>17114.914425427873</v>
      </c>
      <c r="K200" s="7">
        <v>1.01</v>
      </c>
      <c r="L200" s="3">
        <v>441</v>
      </c>
      <c r="M200" s="3">
        <v>450</v>
      </c>
      <c r="N200" s="3">
        <v>9</v>
      </c>
      <c r="O200" s="5">
        <f t="shared" si="19"/>
        <v>0.98</v>
      </c>
      <c r="P200" s="5">
        <f t="shared" si="20"/>
        <v>0.93671201814058969</v>
      </c>
      <c r="Q200" s="5">
        <f t="shared" si="21"/>
        <v>0.9828850855745721</v>
      </c>
      <c r="R200" s="5">
        <f t="shared" si="22"/>
        <v>0.90226666666666677</v>
      </c>
    </row>
    <row r="201" spans="1:18" x14ac:dyDescent="0.25">
      <c r="A201" s="3">
        <v>197</v>
      </c>
      <c r="B201" s="4">
        <v>46217</v>
      </c>
      <c r="C201" s="3" t="s">
        <v>18</v>
      </c>
      <c r="D201" s="3" t="s">
        <v>21</v>
      </c>
      <c r="E201" s="3" t="s">
        <v>26</v>
      </c>
      <c r="F201" s="3">
        <v>394</v>
      </c>
      <c r="G201" s="3">
        <v>384</v>
      </c>
      <c r="H201" s="3">
        <v>10</v>
      </c>
      <c r="I201" s="5">
        <f t="shared" si="18"/>
        <v>2.5380710659898477E-2</v>
      </c>
      <c r="J201" s="6">
        <f t="shared" si="23"/>
        <v>25380.710659898476</v>
      </c>
      <c r="K201" s="7">
        <v>0.96</v>
      </c>
      <c r="L201" s="3">
        <v>391</v>
      </c>
      <c r="M201" s="3">
        <v>450</v>
      </c>
      <c r="N201" s="3">
        <v>59</v>
      </c>
      <c r="O201" s="5">
        <f t="shared" si="19"/>
        <v>0.86888888888888893</v>
      </c>
      <c r="P201" s="5">
        <f t="shared" si="20"/>
        <v>0.96736572890025574</v>
      </c>
      <c r="Q201" s="5">
        <f t="shared" si="21"/>
        <v>0.97461928934010156</v>
      </c>
      <c r="R201" s="5">
        <f t="shared" si="22"/>
        <v>0.81920000000000004</v>
      </c>
    </row>
    <row r="202" spans="1:18" x14ac:dyDescent="0.25">
      <c r="A202" s="3">
        <v>198</v>
      </c>
      <c r="B202" s="4">
        <v>46217</v>
      </c>
      <c r="C202" s="3" t="s">
        <v>18</v>
      </c>
      <c r="D202" s="3" t="s">
        <v>23</v>
      </c>
      <c r="E202" s="3" t="s">
        <v>31</v>
      </c>
      <c r="F202" s="3">
        <v>511</v>
      </c>
      <c r="G202" s="3">
        <v>504</v>
      </c>
      <c r="H202" s="3">
        <v>7</v>
      </c>
      <c r="I202" s="5">
        <f t="shared" si="18"/>
        <v>1.3698630136986301E-2</v>
      </c>
      <c r="J202" s="6">
        <f t="shared" si="23"/>
        <v>13698.630136986301</v>
      </c>
      <c r="K202" s="7">
        <v>0.76</v>
      </c>
      <c r="L202" s="3">
        <v>387</v>
      </c>
      <c r="M202" s="3">
        <v>450</v>
      </c>
      <c r="N202" s="3">
        <v>63</v>
      </c>
      <c r="O202" s="5">
        <f t="shared" si="19"/>
        <v>0.86</v>
      </c>
      <c r="P202" s="5">
        <f t="shared" si="20"/>
        <v>1.003514211886305</v>
      </c>
      <c r="Q202" s="5">
        <f t="shared" si="21"/>
        <v>0.98630136986301364</v>
      </c>
      <c r="R202" s="5">
        <f t="shared" si="22"/>
        <v>0.85119999999999996</v>
      </c>
    </row>
    <row r="203" spans="1:18" x14ac:dyDescent="0.25">
      <c r="A203" s="3">
        <v>199</v>
      </c>
      <c r="B203" s="4">
        <v>46217</v>
      </c>
      <c r="C203" s="3" t="s">
        <v>25</v>
      </c>
      <c r="D203" s="3" t="s">
        <v>19</v>
      </c>
      <c r="E203" s="3" t="s">
        <v>26</v>
      </c>
      <c r="F203" s="3">
        <v>435</v>
      </c>
      <c r="G203" s="3">
        <v>420</v>
      </c>
      <c r="H203" s="3">
        <v>15</v>
      </c>
      <c r="I203" s="5">
        <f t="shared" si="18"/>
        <v>3.4482758620689655E-2</v>
      </c>
      <c r="J203" s="6">
        <f t="shared" si="23"/>
        <v>34482.758620689652</v>
      </c>
      <c r="K203" s="7">
        <v>0.82</v>
      </c>
      <c r="L203" s="3">
        <v>391</v>
      </c>
      <c r="M203" s="3">
        <v>450</v>
      </c>
      <c r="N203" s="3">
        <v>59</v>
      </c>
      <c r="O203" s="5">
        <f t="shared" si="19"/>
        <v>0.86888888888888893</v>
      </c>
      <c r="P203" s="5">
        <f t="shared" si="20"/>
        <v>0.91227621483375954</v>
      </c>
      <c r="Q203" s="5">
        <f t="shared" si="21"/>
        <v>0.96551724137931039</v>
      </c>
      <c r="R203" s="5">
        <f t="shared" si="22"/>
        <v>0.76533333333333331</v>
      </c>
    </row>
    <row r="204" spans="1:18" x14ac:dyDescent="0.25">
      <c r="A204" s="3">
        <v>200</v>
      </c>
      <c r="B204" s="4">
        <v>46217</v>
      </c>
      <c r="C204" s="3" t="s">
        <v>25</v>
      </c>
      <c r="D204" s="3" t="s">
        <v>21</v>
      </c>
      <c r="E204" s="3" t="s">
        <v>22</v>
      </c>
      <c r="F204" s="3">
        <v>304</v>
      </c>
      <c r="G204" s="3">
        <v>299</v>
      </c>
      <c r="H204" s="3">
        <v>5</v>
      </c>
      <c r="I204" s="5">
        <f t="shared" si="18"/>
        <v>1.6447368421052631E-2</v>
      </c>
      <c r="J204" s="6">
        <f t="shared" si="23"/>
        <v>16447.36842105263</v>
      </c>
      <c r="K204" s="7">
        <v>1.21</v>
      </c>
      <c r="L204" s="3">
        <v>390</v>
      </c>
      <c r="M204" s="3">
        <v>450</v>
      </c>
      <c r="N204" s="3">
        <v>60</v>
      </c>
      <c r="O204" s="5">
        <f t="shared" si="19"/>
        <v>0.8666666666666667</v>
      </c>
      <c r="P204" s="5">
        <f t="shared" si="20"/>
        <v>0.94317948717948707</v>
      </c>
      <c r="Q204" s="5">
        <f t="shared" si="21"/>
        <v>0.98355263157894735</v>
      </c>
      <c r="R204" s="5">
        <f t="shared" si="22"/>
        <v>0.80397777777777768</v>
      </c>
    </row>
    <row r="205" spans="1:18" x14ac:dyDescent="0.25">
      <c r="A205" s="3">
        <v>201</v>
      </c>
      <c r="B205" s="4">
        <v>46217</v>
      </c>
      <c r="C205" s="3" t="s">
        <v>25</v>
      </c>
      <c r="D205" s="3" t="s">
        <v>23</v>
      </c>
      <c r="E205" s="3" t="s">
        <v>20</v>
      </c>
      <c r="F205" s="3">
        <v>499</v>
      </c>
      <c r="G205" s="3">
        <v>479</v>
      </c>
      <c r="H205" s="3">
        <v>20</v>
      </c>
      <c r="I205" s="5">
        <f t="shared" si="18"/>
        <v>4.0080160320641281E-2</v>
      </c>
      <c r="J205" s="6">
        <f t="shared" si="23"/>
        <v>40080.160320641284</v>
      </c>
      <c r="K205" s="7">
        <v>0.7</v>
      </c>
      <c r="L205" s="3">
        <v>427</v>
      </c>
      <c r="M205" s="3">
        <v>450</v>
      </c>
      <c r="N205" s="3">
        <v>23</v>
      </c>
      <c r="O205" s="5">
        <f t="shared" si="19"/>
        <v>0.94888888888888889</v>
      </c>
      <c r="P205" s="5">
        <f t="shared" si="20"/>
        <v>0.81803278688524583</v>
      </c>
      <c r="Q205" s="5">
        <f t="shared" si="21"/>
        <v>0.95991983967935868</v>
      </c>
      <c r="R205" s="5">
        <f t="shared" si="22"/>
        <v>0.74511111111111106</v>
      </c>
    </row>
    <row r="206" spans="1:18" x14ac:dyDescent="0.25">
      <c r="A206" s="3">
        <v>202</v>
      </c>
      <c r="B206" s="4">
        <v>46217</v>
      </c>
      <c r="C206" s="3" t="s">
        <v>28</v>
      </c>
      <c r="D206" s="3" t="s">
        <v>19</v>
      </c>
      <c r="E206" s="3" t="s">
        <v>22</v>
      </c>
      <c r="F206" s="3">
        <v>515</v>
      </c>
      <c r="G206" s="3">
        <v>496</v>
      </c>
      <c r="H206" s="3">
        <v>19</v>
      </c>
      <c r="I206" s="5">
        <f t="shared" si="18"/>
        <v>3.6893203883495145E-2</v>
      </c>
      <c r="J206" s="6">
        <f t="shared" si="23"/>
        <v>36893.203883495145</v>
      </c>
      <c r="K206" s="7">
        <v>0.76</v>
      </c>
      <c r="L206" s="3">
        <v>426</v>
      </c>
      <c r="M206" s="3">
        <v>450</v>
      </c>
      <c r="N206" s="3">
        <v>24</v>
      </c>
      <c r="O206" s="5">
        <f t="shared" si="19"/>
        <v>0.94666666666666666</v>
      </c>
      <c r="P206" s="5">
        <f t="shared" si="20"/>
        <v>0.91877934272300466</v>
      </c>
      <c r="Q206" s="5">
        <f t="shared" si="21"/>
        <v>0.96310679611650485</v>
      </c>
      <c r="R206" s="5">
        <f t="shared" si="22"/>
        <v>0.83768888888888882</v>
      </c>
    </row>
    <row r="207" spans="1:18" x14ac:dyDescent="0.25">
      <c r="A207" s="3">
        <v>203</v>
      </c>
      <c r="B207" s="4">
        <v>46217</v>
      </c>
      <c r="C207" s="3" t="s">
        <v>28</v>
      </c>
      <c r="D207" s="3" t="s">
        <v>21</v>
      </c>
      <c r="E207" s="3" t="s">
        <v>26</v>
      </c>
      <c r="F207" s="3">
        <v>245</v>
      </c>
      <c r="G207" s="3">
        <v>234</v>
      </c>
      <c r="H207" s="3">
        <v>11</v>
      </c>
      <c r="I207" s="5">
        <f t="shared" si="18"/>
        <v>4.4897959183673466E-2</v>
      </c>
      <c r="J207" s="6">
        <f t="shared" si="23"/>
        <v>44897.959183673469</v>
      </c>
      <c r="K207" s="7">
        <v>1.49</v>
      </c>
      <c r="L207" s="3">
        <v>407</v>
      </c>
      <c r="M207" s="3">
        <v>450</v>
      </c>
      <c r="N207" s="3">
        <v>43</v>
      </c>
      <c r="O207" s="5">
        <f t="shared" si="19"/>
        <v>0.9044444444444445</v>
      </c>
      <c r="P207" s="5">
        <f t="shared" si="20"/>
        <v>0.89692874692874691</v>
      </c>
      <c r="Q207" s="5">
        <f t="shared" si="21"/>
        <v>0.95510204081632655</v>
      </c>
      <c r="R207" s="5">
        <f t="shared" si="22"/>
        <v>0.77480000000000004</v>
      </c>
    </row>
    <row r="208" spans="1:18" x14ac:dyDescent="0.25">
      <c r="A208" s="3">
        <v>204</v>
      </c>
      <c r="B208" s="4">
        <v>46217</v>
      </c>
      <c r="C208" s="3" t="s">
        <v>28</v>
      </c>
      <c r="D208" s="3" t="s">
        <v>23</v>
      </c>
      <c r="E208" s="3" t="s">
        <v>20</v>
      </c>
      <c r="F208" s="3">
        <v>309</v>
      </c>
      <c r="G208" s="3">
        <v>296</v>
      </c>
      <c r="H208" s="3">
        <v>13</v>
      </c>
      <c r="I208" s="5">
        <f t="shared" si="18"/>
        <v>4.2071197411003236E-2</v>
      </c>
      <c r="J208" s="6">
        <f t="shared" si="23"/>
        <v>42071.197411003239</v>
      </c>
      <c r="K208" s="7">
        <v>1.33</v>
      </c>
      <c r="L208" s="3">
        <v>419</v>
      </c>
      <c r="M208" s="3">
        <v>450</v>
      </c>
      <c r="N208" s="3">
        <v>31</v>
      </c>
      <c r="O208" s="5">
        <f t="shared" si="19"/>
        <v>0.93111111111111111</v>
      </c>
      <c r="P208" s="5">
        <f t="shared" si="20"/>
        <v>0.98083532219570413</v>
      </c>
      <c r="Q208" s="5">
        <f t="shared" si="21"/>
        <v>0.95792880258899671</v>
      </c>
      <c r="R208" s="5">
        <f t="shared" si="22"/>
        <v>0.87484444444444454</v>
      </c>
    </row>
    <row r="209" spans="1:18" x14ac:dyDescent="0.25">
      <c r="A209" s="3">
        <v>205</v>
      </c>
      <c r="B209" s="4">
        <v>46217</v>
      </c>
      <c r="C209" s="3" t="s">
        <v>30</v>
      </c>
      <c r="D209" s="3" t="s">
        <v>19</v>
      </c>
      <c r="E209" s="3" t="s">
        <v>22</v>
      </c>
      <c r="F209" s="3">
        <v>257</v>
      </c>
      <c r="G209" s="3">
        <v>255</v>
      </c>
      <c r="H209" s="3">
        <v>2</v>
      </c>
      <c r="I209" s="5">
        <f t="shared" si="18"/>
        <v>7.7821011673151752E-3</v>
      </c>
      <c r="J209" s="6">
        <f t="shared" si="23"/>
        <v>7782.1011673151752</v>
      </c>
      <c r="K209" s="7">
        <v>1.49</v>
      </c>
      <c r="L209" s="3">
        <v>417</v>
      </c>
      <c r="M209" s="3">
        <v>450</v>
      </c>
      <c r="N209" s="3">
        <v>33</v>
      </c>
      <c r="O209" s="5">
        <f t="shared" si="19"/>
        <v>0.92666666666666664</v>
      </c>
      <c r="P209" s="5">
        <f t="shared" si="20"/>
        <v>0.91829736211031177</v>
      </c>
      <c r="Q209" s="5">
        <f t="shared" si="21"/>
        <v>0.99221789883268485</v>
      </c>
      <c r="R209" s="5">
        <f t="shared" si="22"/>
        <v>0.84433333333333338</v>
      </c>
    </row>
    <row r="210" spans="1:18" x14ac:dyDescent="0.25">
      <c r="A210" s="3">
        <v>206</v>
      </c>
      <c r="B210" s="4">
        <v>46217</v>
      </c>
      <c r="C210" s="3" t="s">
        <v>30</v>
      </c>
      <c r="D210" s="3" t="s">
        <v>21</v>
      </c>
      <c r="E210" s="3" t="s">
        <v>35</v>
      </c>
      <c r="F210" s="3">
        <v>340</v>
      </c>
      <c r="G210" s="3">
        <v>332</v>
      </c>
      <c r="H210" s="3">
        <v>8</v>
      </c>
      <c r="I210" s="5">
        <f t="shared" si="18"/>
        <v>2.3529411764705882E-2</v>
      </c>
      <c r="J210" s="6">
        <f t="shared" si="23"/>
        <v>23529.411764705881</v>
      </c>
      <c r="K210" s="7">
        <v>1.3</v>
      </c>
      <c r="L210" s="3">
        <v>434</v>
      </c>
      <c r="M210" s="3">
        <v>450</v>
      </c>
      <c r="N210" s="3">
        <v>16</v>
      </c>
      <c r="O210" s="5">
        <f t="shared" si="19"/>
        <v>0.96444444444444444</v>
      </c>
      <c r="P210" s="5">
        <f t="shared" si="20"/>
        <v>1.0184331797235022</v>
      </c>
      <c r="Q210" s="5">
        <f t="shared" si="21"/>
        <v>0.97647058823529409</v>
      </c>
      <c r="R210" s="5">
        <f t="shared" si="22"/>
        <v>0.95911111111111103</v>
      </c>
    </row>
    <row r="211" spans="1:18" x14ac:dyDescent="0.25">
      <c r="A211" s="3">
        <v>207</v>
      </c>
      <c r="B211" s="4">
        <v>46217</v>
      </c>
      <c r="C211" s="3" t="s">
        <v>30</v>
      </c>
      <c r="D211" s="3" t="s">
        <v>23</v>
      </c>
      <c r="E211" s="3" t="s">
        <v>20</v>
      </c>
      <c r="F211" s="3">
        <v>454</v>
      </c>
      <c r="G211" s="3">
        <v>451</v>
      </c>
      <c r="H211" s="3">
        <v>3</v>
      </c>
      <c r="I211" s="5">
        <f t="shared" si="18"/>
        <v>6.6079295154185024E-3</v>
      </c>
      <c r="J211" s="6">
        <f t="shared" si="23"/>
        <v>6607.929515418502</v>
      </c>
      <c r="K211" s="7">
        <v>0.98</v>
      </c>
      <c r="L211" s="3">
        <v>437</v>
      </c>
      <c r="M211" s="3">
        <v>450</v>
      </c>
      <c r="N211" s="3">
        <v>13</v>
      </c>
      <c r="O211" s="5">
        <f t="shared" si="19"/>
        <v>0.97111111111111115</v>
      </c>
      <c r="P211" s="5">
        <f t="shared" si="20"/>
        <v>1.0181235697940503</v>
      </c>
      <c r="Q211" s="5">
        <f t="shared" si="21"/>
        <v>0.99339207048458145</v>
      </c>
      <c r="R211" s="5">
        <f t="shared" si="22"/>
        <v>0.98217777777777771</v>
      </c>
    </row>
    <row r="212" spans="1:18" x14ac:dyDescent="0.25">
      <c r="A212" s="3">
        <v>208</v>
      </c>
      <c r="B212" s="4">
        <v>46217</v>
      </c>
      <c r="C212" s="3" t="s">
        <v>33</v>
      </c>
      <c r="D212" s="3" t="s">
        <v>19</v>
      </c>
      <c r="E212" s="3" t="s">
        <v>29</v>
      </c>
      <c r="F212" s="3">
        <v>909</v>
      </c>
      <c r="G212" s="3">
        <v>904</v>
      </c>
      <c r="H212" s="3">
        <v>5</v>
      </c>
      <c r="I212" s="5">
        <f t="shared" si="18"/>
        <v>5.5005500550055009E-3</v>
      </c>
      <c r="J212" s="6">
        <f t="shared" si="23"/>
        <v>5500.5500550055012</v>
      </c>
      <c r="K212" s="7">
        <v>0.41</v>
      </c>
      <c r="L212" s="3">
        <v>443</v>
      </c>
      <c r="M212" s="3">
        <v>450</v>
      </c>
      <c r="N212" s="3">
        <v>7</v>
      </c>
      <c r="O212" s="5">
        <f t="shared" si="19"/>
        <v>0.98444444444444446</v>
      </c>
      <c r="P212" s="5">
        <f t="shared" si="20"/>
        <v>0.84128668171557563</v>
      </c>
      <c r="Q212" s="5">
        <f t="shared" si="21"/>
        <v>0.99449944994499451</v>
      </c>
      <c r="R212" s="5">
        <f t="shared" si="22"/>
        <v>0.82364444444444451</v>
      </c>
    </row>
    <row r="213" spans="1:18" x14ac:dyDescent="0.25">
      <c r="A213" s="3">
        <v>209</v>
      </c>
      <c r="B213" s="4">
        <v>46217</v>
      </c>
      <c r="C213" s="3" t="s">
        <v>33</v>
      </c>
      <c r="D213" s="3" t="s">
        <v>21</v>
      </c>
      <c r="E213" s="3" t="s">
        <v>26</v>
      </c>
      <c r="F213" s="3">
        <v>364</v>
      </c>
      <c r="G213" s="3">
        <v>362</v>
      </c>
      <c r="H213" s="3">
        <v>2</v>
      </c>
      <c r="I213" s="5">
        <f t="shared" si="18"/>
        <v>5.4945054945054949E-3</v>
      </c>
      <c r="J213" s="6">
        <f t="shared" si="23"/>
        <v>5494.5054945054953</v>
      </c>
      <c r="K213" s="7">
        <v>1.01</v>
      </c>
      <c r="L213" s="3">
        <v>429</v>
      </c>
      <c r="M213" s="3">
        <v>450</v>
      </c>
      <c r="N213" s="3">
        <v>21</v>
      </c>
      <c r="O213" s="5">
        <f t="shared" si="19"/>
        <v>0.95333333333333337</v>
      </c>
      <c r="P213" s="5">
        <f t="shared" si="20"/>
        <v>0.85696969696969694</v>
      </c>
      <c r="Q213" s="5">
        <f t="shared" si="21"/>
        <v>0.99450549450549453</v>
      </c>
      <c r="R213" s="5">
        <f t="shared" si="22"/>
        <v>0.81248888888888893</v>
      </c>
    </row>
    <row r="214" spans="1:18" x14ac:dyDescent="0.25">
      <c r="A214" s="3">
        <v>210</v>
      </c>
      <c r="B214" s="4">
        <v>46217</v>
      </c>
      <c r="C214" s="3" t="s">
        <v>33</v>
      </c>
      <c r="D214" s="3" t="s">
        <v>23</v>
      </c>
      <c r="E214" s="3" t="s">
        <v>24</v>
      </c>
      <c r="F214" s="3">
        <v>711</v>
      </c>
      <c r="G214" s="3">
        <v>707</v>
      </c>
      <c r="H214" s="3">
        <v>4</v>
      </c>
      <c r="I214" s="5">
        <f t="shared" si="18"/>
        <v>5.6258790436005627E-3</v>
      </c>
      <c r="J214" s="6">
        <f t="shared" si="23"/>
        <v>5625.8790436005629</v>
      </c>
      <c r="K214" s="7">
        <v>0.51</v>
      </c>
      <c r="L214" s="3">
        <v>414</v>
      </c>
      <c r="M214" s="3">
        <v>450</v>
      </c>
      <c r="N214" s="3">
        <v>36</v>
      </c>
      <c r="O214" s="5">
        <f t="shared" si="19"/>
        <v>0.92</v>
      </c>
      <c r="P214" s="5">
        <f t="shared" si="20"/>
        <v>0.87586956521739134</v>
      </c>
      <c r="Q214" s="5">
        <f t="shared" si="21"/>
        <v>0.99437412095639943</v>
      </c>
      <c r="R214" s="5">
        <f t="shared" si="22"/>
        <v>0.80126666666666668</v>
      </c>
    </row>
    <row r="215" spans="1:18" x14ac:dyDescent="0.25">
      <c r="A215" s="3">
        <v>211</v>
      </c>
      <c r="B215" s="4">
        <v>46218</v>
      </c>
      <c r="C215" s="3" t="s">
        <v>18</v>
      </c>
      <c r="D215" s="3" t="s">
        <v>19</v>
      </c>
      <c r="E215" s="3" t="s">
        <v>34</v>
      </c>
      <c r="F215" s="3">
        <v>262</v>
      </c>
      <c r="G215" s="3">
        <v>257</v>
      </c>
      <c r="H215" s="3">
        <v>5</v>
      </c>
      <c r="I215" s="5">
        <f t="shared" si="18"/>
        <v>1.9083969465648856E-2</v>
      </c>
      <c r="J215" s="6">
        <f t="shared" si="23"/>
        <v>19083.969465648857</v>
      </c>
      <c r="K215" s="7">
        <v>1.36</v>
      </c>
      <c r="L215" s="3">
        <v>418</v>
      </c>
      <c r="M215" s="3">
        <v>450</v>
      </c>
      <c r="N215" s="3">
        <v>32</v>
      </c>
      <c r="O215" s="5">
        <f t="shared" si="19"/>
        <v>0.92888888888888888</v>
      </c>
      <c r="P215" s="5">
        <f t="shared" si="20"/>
        <v>0.85244019138755989</v>
      </c>
      <c r="Q215" s="5">
        <f t="shared" si="21"/>
        <v>0.98091603053435117</v>
      </c>
      <c r="R215" s="5">
        <f t="shared" si="22"/>
        <v>0.77671111111111124</v>
      </c>
    </row>
    <row r="216" spans="1:18" x14ac:dyDescent="0.25">
      <c r="A216" s="3">
        <v>212</v>
      </c>
      <c r="B216" s="4">
        <v>46218</v>
      </c>
      <c r="C216" s="3" t="s">
        <v>18</v>
      </c>
      <c r="D216" s="3" t="s">
        <v>21</v>
      </c>
      <c r="E216" s="3" t="s">
        <v>26</v>
      </c>
      <c r="F216" s="3">
        <v>355</v>
      </c>
      <c r="G216" s="3">
        <v>352</v>
      </c>
      <c r="H216" s="3">
        <v>3</v>
      </c>
      <c r="I216" s="5">
        <f t="shared" si="18"/>
        <v>8.4507042253521118E-3</v>
      </c>
      <c r="J216" s="6">
        <f t="shared" si="23"/>
        <v>8450.7042253521122</v>
      </c>
      <c r="K216" s="7">
        <v>0.95</v>
      </c>
      <c r="L216" s="3">
        <v>433</v>
      </c>
      <c r="M216" s="3">
        <v>450</v>
      </c>
      <c r="N216" s="3">
        <v>17</v>
      </c>
      <c r="O216" s="5">
        <f t="shared" si="19"/>
        <v>0.9622222222222222</v>
      </c>
      <c r="P216" s="5">
        <f t="shared" si="20"/>
        <v>0.77886836027713624</v>
      </c>
      <c r="Q216" s="5">
        <f t="shared" si="21"/>
        <v>0.9915492957746479</v>
      </c>
      <c r="R216" s="5">
        <f t="shared" si="22"/>
        <v>0.74311111111111106</v>
      </c>
    </row>
    <row r="217" spans="1:18" x14ac:dyDescent="0.25">
      <c r="A217" s="3">
        <v>213</v>
      </c>
      <c r="B217" s="4">
        <v>46218</v>
      </c>
      <c r="C217" s="3" t="s">
        <v>18</v>
      </c>
      <c r="D217" s="3" t="s">
        <v>23</v>
      </c>
      <c r="E217" s="3" t="s">
        <v>29</v>
      </c>
      <c r="F217" s="3">
        <v>247</v>
      </c>
      <c r="G217" s="3">
        <v>241</v>
      </c>
      <c r="H217" s="3">
        <v>6</v>
      </c>
      <c r="I217" s="5">
        <f t="shared" si="18"/>
        <v>2.4291497975708502E-2</v>
      </c>
      <c r="J217" s="6">
        <f t="shared" si="23"/>
        <v>24291.497975708502</v>
      </c>
      <c r="K217" s="7">
        <v>1.6</v>
      </c>
      <c r="L217" s="3">
        <v>436</v>
      </c>
      <c r="M217" s="3">
        <v>450</v>
      </c>
      <c r="N217" s="3">
        <v>14</v>
      </c>
      <c r="O217" s="5">
        <f t="shared" si="19"/>
        <v>0.96888888888888891</v>
      </c>
      <c r="P217" s="5">
        <f t="shared" si="20"/>
        <v>0.9064220183486239</v>
      </c>
      <c r="Q217" s="5">
        <f t="shared" si="21"/>
        <v>0.97570850202429149</v>
      </c>
      <c r="R217" s="5">
        <f t="shared" si="22"/>
        <v>0.85688888888888892</v>
      </c>
    </row>
    <row r="218" spans="1:18" x14ac:dyDescent="0.25">
      <c r="A218" s="3">
        <v>214</v>
      </c>
      <c r="B218" s="4">
        <v>46218</v>
      </c>
      <c r="C218" s="3" t="s">
        <v>25</v>
      </c>
      <c r="D218" s="3" t="s">
        <v>19</v>
      </c>
      <c r="E218" s="3" t="s">
        <v>27</v>
      </c>
      <c r="F218" s="3">
        <v>476</v>
      </c>
      <c r="G218" s="3">
        <v>459</v>
      </c>
      <c r="H218" s="3">
        <v>17</v>
      </c>
      <c r="I218" s="5">
        <f t="shared" si="18"/>
        <v>3.5714285714285712E-2</v>
      </c>
      <c r="J218" s="6">
        <f t="shared" si="23"/>
        <v>35714.28571428571</v>
      </c>
      <c r="K218" s="7">
        <v>0.83</v>
      </c>
      <c r="L218" s="3">
        <v>445</v>
      </c>
      <c r="M218" s="3">
        <v>450</v>
      </c>
      <c r="N218" s="3">
        <v>5</v>
      </c>
      <c r="O218" s="5">
        <f t="shared" si="19"/>
        <v>0.98888888888888893</v>
      </c>
      <c r="P218" s="5">
        <f t="shared" si="20"/>
        <v>0.88782022471910105</v>
      </c>
      <c r="Q218" s="5">
        <f t="shared" si="21"/>
        <v>0.9642857142857143</v>
      </c>
      <c r="R218" s="5">
        <f t="shared" si="22"/>
        <v>0.84659999999999991</v>
      </c>
    </row>
    <row r="219" spans="1:18" x14ac:dyDescent="0.25">
      <c r="A219" s="3">
        <v>215</v>
      </c>
      <c r="B219" s="4">
        <v>46218</v>
      </c>
      <c r="C219" s="3" t="s">
        <v>25</v>
      </c>
      <c r="D219" s="3" t="s">
        <v>21</v>
      </c>
      <c r="E219" s="3" t="s">
        <v>31</v>
      </c>
      <c r="F219" s="3">
        <v>226</v>
      </c>
      <c r="G219" s="3">
        <v>223</v>
      </c>
      <c r="H219" s="3">
        <v>3</v>
      </c>
      <c r="I219" s="5">
        <f t="shared" si="18"/>
        <v>1.3274336283185841E-2</v>
      </c>
      <c r="J219" s="6">
        <f t="shared" si="23"/>
        <v>13274.336283185841</v>
      </c>
      <c r="K219" s="7">
        <v>1.57</v>
      </c>
      <c r="L219" s="3">
        <v>413</v>
      </c>
      <c r="M219" s="3">
        <v>450</v>
      </c>
      <c r="N219" s="3">
        <v>37</v>
      </c>
      <c r="O219" s="5">
        <f t="shared" si="19"/>
        <v>0.9177777777777778</v>
      </c>
      <c r="P219" s="5">
        <f t="shared" si="20"/>
        <v>0.85912832929782079</v>
      </c>
      <c r="Q219" s="5">
        <f t="shared" si="21"/>
        <v>0.98672566371681414</v>
      </c>
      <c r="R219" s="5">
        <f t="shared" si="22"/>
        <v>0.77802222222222217</v>
      </c>
    </row>
    <row r="220" spans="1:18" x14ac:dyDescent="0.25">
      <c r="A220" s="3">
        <v>216</v>
      </c>
      <c r="B220" s="4">
        <v>46218</v>
      </c>
      <c r="C220" s="3" t="s">
        <v>25</v>
      </c>
      <c r="D220" s="3" t="s">
        <v>23</v>
      </c>
      <c r="E220" s="3" t="s">
        <v>31</v>
      </c>
      <c r="F220" s="3">
        <v>389</v>
      </c>
      <c r="G220" s="3">
        <v>384</v>
      </c>
      <c r="H220" s="3">
        <v>5</v>
      </c>
      <c r="I220" s="5">
        <f t="shared" si="18"/>
        <v>1.2853470437017995E-2</v>
      </c>
      <c r="J220" s="6">
        <f t="shared" si="23"/>
        <v>12853.470437017995</v>
      </c>
      <c r="K220" s="7">
        <v>1.05</v>
      </c>
      <c r="L220" s="3">
        <v>430</v>
      </c>
      <c r="M220" s="3">
        <v>450</v>
      </c>
      <c r="N220" s="3">
        <v>20</v>
      </c>
      <c r="O220" s="5">
        <f t="shared" si="19"/>
        <v>0.9555555555555556</v>
      </c>
      <c r="P220" s="5">
        <f t="shared" si="20"/>
        <v>0.94988372093023266</v>
      </c>
      <c r="Q220" s="5">
        <f t="shared" si="21"/>
        <v>0.98714652956298199</v>
      </c>
      <c r="R220" s="5">
        <f t="shared" si="22"/>
        <v>0.89600000000000013</v>
      </c>
    </row>
    <row r="221" spans="1:18" x14ac:dyDescent="0.25">
      <c r="A221" s="3">
        <v>217</v>
      </c>
      <c r="B221" s="4">
        <v>46218</v>
      </c>
      <c r="C221" s="3" t="s">
        <v>28</v>
      </c>
      <c r="D221" s="3" t="s">
        <v>19</v>
      </c>
      <c r="E221" s="3" t="s">
        <v>34</v>
      </c>
      <c r="F221" s="3">
        <v>410</v>
      </c>
      <c r="G221" s="3">
        <v>401</v>
      </c>
      <c r="H221" s="3">
        <v>9</v>
      </c>
      <c r="I221" s="5">
        <f t="shared" si="18"/>
        <v>2.1951219512195121E-2</v>
      </c>
      <c r="J221" s="6">
        <f t="shared" si="23"/>
        <v>21951.219512195119</v>
      </c>
      <c r="K221" s="7">
        <v>0.83</v>
      </c>
      <c r="L221" s="3">
        <v>430</v>
      </c>
      <c r="M221" s="3">
        <v>450</v>
      </c>
      <c r="N221" s="3">
        <v>20</v>
      </c>
      <c r="O221" s="5">
        <f t="shared" si="19"/>
        <v>0.9555555555555556</v>
      </c>
      <c r="P221" s="5">
        <f t="shared" si="20"/>
        <v>0.7913953488372093</v>
      </c>
      <c r="Q221" s="5">
        <f t="shared" si="21"/>
        <v>0.97804878048780486</v>
      </c>
      <c r="R221" s="5">
        <f t="shared" si="22"/>
        <v>0.73962222222222218</v>
      </c>
    </row>
    <row r="222" spans="1:18" x14ac:dyDescent="0.25">
      <c r="A222" s="3">
        <v>218</v>
      </c>
      <c r="B222" s="4">
        <v>46218</v>
      </c>
      <c r="C222" s="3" t="s">
        <v>28</v>
      </c>
      <c r="D222" s="3" t="s">
        <v>21</v>
      </c>
      <c r="E222" s="3" t="s">
        <v>26</v>
      </c>
      <c r="F222" s="3">
        <v>230</v>
      </c>
      <c r="G222" s="3">
        <v>229</v>
      </c>
      <c r="H222" s="3">
        <v>1</v>
      </c>
      <c r="I222" s="5">
        <f t="shared" si="18"/>
        <v>4.3478260869565218E-3</v>
      </c>
      <c r="J222" s="6">
        <f t="shared" si="23"/>
        <v>4347.826086956522</v>
      </c>
      <c r="K222" s="7">
        <v>1.38</v>
      </c>
      <c r="L222" s="3">
        <v>389</v>
      </c>
      <c r="M222" s="3">
        <v>450</v>
      </c>
      <c r="N222" s="3">
        <v>61</v>
      </c>
      <c r="O222" s="5">
        <f t="shared" si="19"/>
        <v>0.86444444444444446</v>
      </c>
      <c r="P222" s="5">
        <f t="shared" si="20"/>
        <v>0.8159383033419022</v>
      </c>
      <c r="Q222" s="5">
        <f t="shared" si="21"/>
        <v>0.9956521739130435</v>
      </c>
      <c r="R222" s="5">
        <f t="shared" si="22"/>
        <v>0.70226666666666659</v>
      </c>
    </row>
    <row r="223" spans="1:18" x14ac:dyDescent="0.25">
      <c r="A223" s="3">
        <v>219</v>
      </c>
      <c r="B223" s="4">
        <v>46218</v>
      </c>
      <c r="C223" s="3" t="s">
        <v>28</v>
      </c>
      <c r="D223" s="3" t="s">
        <v>23</v>
      </c>
      <c r="E223" s="3" t="s">
        <v>34</v>
      </c>
      <c r="F223" s="3">
        <v>631</v>
      </c>
      <c r="G223" s="3">
        <v>624</v>
      </c>
      <c r="H223" s="3">
        <v>7</v>
      </c>
      <c r="I223" s="5">
        <f t="shared" si="18"/>
        <v>1.1093502377179081E-2</v>
      </c>
      <c r="J223" s="6">
        <f t="shared" si="23"/>
        <v>11093.502377179082</v>
      </c>
      <c r="K223" s="7">
        <v>0.55000000000000004</v>
      </c>
      <c r="L223" s="3">
        <v>444</v>
      </c>
      <c r="M223" s="3">
        <v>450</v>
      </c>
      <c r="N223" s="3">
        <v>6</v>
      </c>
      <c r="O223" s="5">
        <f t="shared" si="19"/>
        <v>0.98666666666666669</v>
      </c>
      <c r="P223" s="5">
        <f t="shared" si="20"/>
        <v>0.78164414414414418</v>
      </c>
      <c r="Q223" s="5">
        <f t="shared" si="21"/>
        <v>0.9889064976228209</v>
      </c>
      <c r="R223" s="5">
        <f t="shared" si="22"/>
        <v>0.76266666666666671</v>
      </c>
    </row>
    <row r="224" spans="1:18" x14ac:dyDescent="0.25">
      <c r="A224" s="3">
        <v>220</v>
      </c>
      <c r="B224" s="4">
        <v>46218</v>
      </c>
      <c r="C224" s="3" t="s">
        <v>30</v>
      </c>
      <c r="D224" s="3" t="s">
        <v>19</v>
      </c>
      <c r="E224" s="3" t="s">
        <v>32</v>
      </c>
      <c r="F224" s="3">
        <v>785</v>
      </c>
      <c r="G224" s="3">
        <v>762</v>
      </c>
      <c r="H224" s="3">
        <v>23</v>
      </c>
      <c r="I224" s="5">
        <f t="shared" si="18"/>
        <v>2.9299363057324841E-2</v>
      </c>
      <c r="J224" s="6">
        <f t="shared" si="23"/>
        <v>29299.363057324841</v>
      </c>
      <c r="K224" s="7">
        <v>0.4</v>
      </c>
      <c r="L224" s="3">
        <v>389</v>
      </c>
      <c r="M224" s="3">
        <v>450</v>
      </c>
      <c r="N224" s="3">
        <v>61</v>
      </c>
      <c r="O224" s="5">
        <f t="shared" si="19"/>
        <v>0.86444444444444446</v>
      </c>
      <c r="P224" s="5">
        <f t="shared" si="20"/>
        <v>0.80719794344473006</v>
      </c>
      <c r="Q224" s="5">
        <f t="shared" si="21"/>
        <v>0.97070063694267517</v>
      </c>
      <c r="R224" s="5">
        <f t="shared" si="22"/>
        <v>0.67733333333333334</v>
      </c>
    </row>
    <row r="225" spans="1:18" x14ac:dyDescent="0.25">
      <c r="A225" s="3">
        <v>221</v>
      </c>
      <c r="B225" s="4">
        <v>46218</v>
      </c>
      <c r="C225" s="3" t="s">
        <v>30</v>
      </c>
      <c r="D225" s="3" t="s">
        <v>21</v>
      </c>
      <c r="E225" s="3" t="s">
        <v>26</v>
      </c>
      <c r="F225" s="3">
        <v>583</v>
      </c>
      <c r="G225" s="3">
        <v>560</v>
      </c>
      <c r="H225" s="3">
        <v>23</v>
      </c>
      <c r="I225" s="5">
        <f t="shared" si="18"/>
        <v>3.9451114922813037E-2</v>
      </c>
      <c r="J225" s="6">
        <f t="shared" si="23"/>
        <v>39451.114922813038</v>
      </c>
      <c r="K225" s="7">
        <v>0.7</v>
      </c>
      <c r="L225" s="3">
        <v>440</v>
      </c>
      <c r="M225" s="3">
        <v>450</v>
      </c>
      <c r="N225" s="3">
        <v>10</v>
      </c>
      <c r="O225" s="5">
        <f t="shared" si="19"/>
        <v>0.97777777777777775</v>
      </c>
      <c r="P225" s="5">
        <f t="shared" si="20"/>
        <v>0.92749999999999988</v>
      </c>
      <c r="Q225" s="5">
        <f t="shared" si="21"/>
        <v>0.96054888507718694</v>
      </c>
      <c r="R225" s="5">
        <f t="shared" si="22"/>
        <v>0.87111111111111095</v>
      </c>
    </row>
    <row r="226" spans="1:18" x14ac:dyDescent="0.25">
      <c r="A226" s="3">
        <v>222</v>
      </c>
      <c r="B226" s="4">
        <v>46218</v>
      </c>
      <c r="C226" s="3" t="s">
        <v>30</v>
      </c>
      <c r="D226" s="3" t="s">
        <v>23</v>
      </c>
      <c r="E226" s="3" t="s">
        <v>20</v>
      </c>
      <c r="F226" s="3">
        <v>1134</v>
      </c>
      <c r="G226" s="3">
        <v>1101</v>
      </c>
      <c r="H226" s="3">
        <v>33</v>
      </c>
      <c r="I226" s="5">
        <f t="shared" si="18"/>
        <v>2.9100529100529099E-2</v>
      </c>
      <c r="J226" s="6">
        <f t="shared" si="23"/>
        <v>29100.5291005291</v>
      </c>
      <c r="K226" s="7">
        <v>0.36</v>
      </c>
      <c r="L226" s="3">
        <v>411</v>
      </c>
      <c r="M226" s="3">
        <v>450</v>
      </c>
      <c r="N226" s="3">
        <v>39</v>
      </c>
      <c r="O226" s="5">
        <f t="shared" si="19"/>
        <v>0.91333333333333333</v>
      </c>
      <c r="P226" s="5">
        <f t="shared" si="20"/>
        <v>0.99328467153284672</v>
      </c>
      <c r="Q226" s="5">
        <f t="shared" si="21"/>
        <v>0.97089947089947093</v>
      </c>
      <c r="R226" s="5">
        <f t="shared" si="22"/>
        <v>0.88080000000000003</v>
      </c>
    </row>
    <row r="227" spans="1:18" x14ac:dyDescent="0.25">
      <c r="A227" s="3">
        <v>223</v>
      </c>
      <c r="B227" s="4">
        <v>46218</v>
      </c>
      <c r="C227" s="3" t="s">
        <v>33</v>
      </c>
      <c r="D227" s="3" t="s">
        <v>19</v>
      </c>
      <c r="E227" s="3" t="s">
        <v>20</v>
      </c>
      <c r="F227" s="3">
        <v>658</v>
      </c>
      <c r="G227" s="3">
        <v>649</v>
      </c>
      <c r="H227" s="3">
        <v>9</v>
      </c>
      <c r="I227" s="5">
        <f t="shared" si="18"/>
        <v>1.3677811550151976E-2</v>
      </c>
      <c r="J227" s="6">
        <f t="shared" si="23"/>
        <v>13677.811550151975</v>
      </c>
      <c r="K227" s="7">
        <v>0.59</v>
      </c>
      <c r="L227" s="3">
        <v>391</v>
      </c>
      <c r="M227" s="3">
        <v>450</v>
      </c>
      <c r="N227" s="3">
        <v>59</v>
      </c>
      <c r="O227" s="5">
        <f t="shared" si="19"/>
        <v>0.86888888888888893</v>
      </c>
      <c r="P227" s="5">
        <f t="shared" si="20"/>
        <v>0.99289002557544748</v>
      </c>
      <c r="Q227" s="5">
        <f t="shared" si="21"/>
        <v>0.98632218844984798</v>
      </c>
      <c r="R227" s="5">
        <f t="shared" si="22"/>
        <v>0.85091111111111106</v>
      </c>
    </row>
    <row r="228" spans="1:18" x14ac:dyDescent="0.25">
      <c r="A228" s="3">
        <v>224</v>
      </c>
      <c r="B228" s="4">
        <v>46218</v>
      </c>
      <c r="C228" s="3" t="s">
        <v>33</v>
      </c>
      <c r="D228" s="3" t="s">
        <v>21</v>
      </c>
      <c r="E228" s="3" t="s">
        <v>32</v>
      </c>
      <c r="F228" s="3">
        <v>211</v>
      </c>
      <c r="G228" s="3">
        <v>205</v>
      </c>
      <c r="H228" s="3">
        <v>6</v>
      </c>
      <c r="I228" s="5">
        <f t="shared" si="18"/>
        <v>2.843601895734597E-2</v>
      </c>
      <c r="J228" s="6">
        <f t="shared" si="23"/>
        <v>28436.018957345972</v>
      </c>
      <c r="K228" s="7">
        <v>1.68</v>
      </c>
      <c r="L228" s="3">
        <v>398</v>
      </c>
      <c r="M228" s="3">
        <v>450</v>
      </c>
      <c r="N228" s="3">
        <v>52</v>
      </c>
      <c r="O228" s="5">
        <f t="shared" si="19"/>
        <v>0.88444444444444448</v>
      </c>
      <c r="P228" s="5">
        <f t="shared" si="20"/>
        <v>0.8906532663316582</v>
      </c>
      <c r="Q228" s="5">
        <f t="shared" si="21"/>
        <v>0.97156398104265407</v>
      </c>
      <c r="R228" s="5">
        <f t="shared" si="22"/>
        <v>0.76533333333333331</v>
      </c>
    </row>
    <row r="229" spans="1:18" x14ac:dyDescent="0.25">
      <c r="A229" s="3">
        <v>225</v>
      </c>
      <c r="B229" s="4">
        <v>46218</v>
      </c>
      <c r="C229" s="3" t="s">
        <v>33</v>
      </c>
      <c r="D229" s="3" t="s">
        <v>23</v>
      </c>
      <c r="E229" s="3" t="s">
        <v>35</v>
      </c>
      <c r="F229" s="3">
        <v>243</v>
      </c>
      <c r="G229" s="3">
        <v>239</v>
      </c>
      <c r="H229" s="3">
        <v>4</v>
      </c>
      <c r="I229" s="5">
        <f t="shared" si="18"/>
        <v>1.646090534979424E-2</v>
      </c>
      <c r="J229" s="6">
        <f t="shared" si="23"/>
        <v>16460.90534979424</v>
      </c>
      <c r="K229" s="7">
        <v>1.78</v>
      </c>
      <c r="L229" s="3">
        <v>441</v>
      </c>
      <c r="M229" s="3">
        <v>450</v>
      </c>
      <c r="N229" s="3">
        <v>9</v>
      </c>
      <c r="O229" s="5">
        <f t="shared" si="19"/>
        <v>0.98</v>
      </c>
      <c r="P229" s="5">
        <f t="shared" si="20"/>
        <v>0.98081632653061224</v>
      </c>
      <c r="Q229" s="5">
        <f t="shared" si="21"/>
        <v>0.98353909465020573</v>
      </c>
      <c r="R229" s="5">
        <f t="shared" si="22"/>
        <v>0.94537777777777765</v>
      </c>
    </row>
    <row r="230" spans="1:18" x14ac:dyDescent="0.25">
      <c r="A230" s="3">
        <v>226</v>
      </c>
      <c r="B230" s="4">
        <v>46219</v>
      </c>
      <c r="C230" s="3" t="s">
        <v>18</v>
      </c>
      <c r="D230" s="3" t="s">
        <v>19</v>
      </c>
      <c r="E230" s="3" t="s">
        <v>32</v>
      </c>
      <c r="F230" s="3">
        <v>260</v>
      </c>
      <c r="G230" s="3">
        <v>257</v>
      </c>
      <c r="H230" s="3">
        <v>3</v>
      </c>
      <c r="I230" s="5">
        <f t="shared" si="18"/>
        <v>1.1538461538461539E-2</v>
      </c>
      <c r="J230" s="6">
        <f t="shared" si="23"/>
        <v>11538.461538461539</v>
      </c>
      <c r="K230" s="7">
        <v>1.51</v>
      </c>
      <c r="L230" s="3">
        <v>423</v>
      </c>
      <c r="M230" s="3">
        <v>450</v>
      </c>
      <c r="N230" s="3">
        <v>27</v>
      </c>
      <c r="O230" s="5">
        <f t="shared" si="19"/>
        <v>0.94</v>
      </c>
      <c r="P230" s="5">
        <f t="shared" si="20"/>
        <v>0.9281323877068558</v>
      </c>
      <c r="Q230" s="5">
        <f t="shared" si="21"/>
        <v>0.9884615384615385</v>
      </c>
      <c r="R230" s="5">
        <f t="shared" si="22"/>
        <v>0.86237777777777769</v>
      </c>
    </row>
    <row r="231" spans="1:18" x14ac:dyDescent="0.25">
      <c r="A231" s="3">
        <v>227</v>
      </c>
      <c r="B231" s="4">
        <v>46219</v>
      </c>
      <c r="C231" s="3" t="s">
        <v>18</v>
      </c>
      <c r="D231" s="3" t="s">
        <v>21</v>
      </c>
      <c r="E231" s="3" t="s">
        <v>32</v>
      </c>
      <c r="F231" s="3">
        <v>342</v>
      </c>
      <c r="G231" s="3">
        <v>341</v>
      </c>
      <c r="H231" s="3">
        <v>1</v>
      </c>
      <c r="I231" s="5">
        <f t="shared" si="18"/>
        <v>2.9239766081871343E-3</v>
      </c>
      <c r="J231" s="6">
        <f t="shared" si="23"/>
        <v>2923.9766081871344</v>
      </c>
      <c r="K231" s="7">
        <v>0.95</v>
      </c>
      <c r="L231" s="3">
        <v>407</v>
      </c>
      <c r="M231" s="3">
        <v>450</v>
      </c>
      <c r="N231" s="3">
        <v>43</v>
      </c>
      <c r="O231" s="5">
        <f t="shared" si="19"/>
        <v>0.9044444444444445</v>
      </c>
      <c r="P231" s="5">
        <f t="shared" si="20"/>
        <v>0.79828009828009827</v>
      </c>
      <c r="Q231" s="5">
        <f t="shared" si="21"/>
        <v>0.99707602339181289</v>
      </c>
      <c r="R231" s="5">
        <f t="shared" si="22"/>
        <v>0.71988888888888902</v>
      </c>
    </row>
    <row r="232" spans="1:18" x14ac:dyDescent="0.25">
      <c r="A232" s="3">
        <v>228</v>
      </c>
      <c r="B232" s="4">
        <v>46219</v>
      </c>
      <c r="C232" s="3" t="s">
        <v>18</v>
      </c>
      <c r="D232" s="3" t="s">
        <v>23</v>
      </c>
      <c r="E232" s="3" t="s">
        <v>34</v>
      </c>
      <c r="F232" s="3">
        <v>393</v>
      </c>
      <c r="G232" s="3">
        <v>389</v>
      </c>
      <c r="H232" s="3">
        <v>4</v>
      </c>
      <c r="I232" s="5">
        <f t="shared" si="18"/>
        <v>1.0178117048346057E-2</v>
      </c>
      <c r="J232" s="6">
        <f t="shared" si="23"/>
        <v>10178.117048346057</v>
      </c>
      <c r="K232" s="7">
        <v>0.85</v>
      </c>
      <c r="L232" s="3">
        <v>426</v>
      </c>
      <c r="M232" s="3">
        <v>450</v>
      </c>
      <c r="N232" s="3">
        <v>24</v>
      </c>
      <c r="O232" s="5">
        <f t="shared" si="19"/>
        <v>0.94666666666666666</v>
      </c>
      <c r="P232" s="5">
        <f t="shared" si="20"/>
        <v>0.7841549295774648</v>
      </c>
      <c r="Q232" s="5">
        <f t="shared" si="21"/>
        <v>0.98982188295165396</v>
      </c>
      <c r="R232" s="5">
        <f t="shared" si="22"/>
        <v>0.73477777777777775</v>
      </c>
    </row>
    <row r="233" spans="1:18" x14ac:dyDescent="0.25">
      <c r="A233" s="3">
        <v>229</v>
      </c>
      <c r="B233" s="4">
        <v>46219</v>
      </c>
      <c r="C233" s="3" t="s">
        <v>25</v>
      </c>
      <c r="D233" s="3" t="s">
        <v>19</v>
      </c>
      <c r="E233" s="3" t="s">
        <v>22</v>
      </c>
      <c r="F233" s="3">
        <v>271</v>
      </c>
      <c r="G233" s="3">
        <v>267</v>
      </c>
      <c r="H233" s="3">
        <v>4</v>
      </c>
      <c r="I233" s="5">
        <f t="shared" si="18"/>
        <v>1.4760147601476014E-2</v>
      </c>
      <c r="J233" s="6">
        <f t="shared" si="23"/>
        <v>14760.147601476014</v>
      </c>
      <c r="K233" s="7">
        <v>1.4</v>
      </c>
      <c r="L233" s="3">
        <v>394</v>
      </c>
      <c r="M233" s="3">
        <v>450</v>
      </c>
      <c r="N233" s="3">
        <v>56</v>
      </c>
      <c r="O233" s="5">
        <f t="shared" si="19"/>
        <v>0.87555555555555553</v>
      </c>
      <c r="P233" s="5">
        <f t="shared" si="20"/>
        <v>0.96294416243654812</v>
      </c>
      <c r="Q233" s="5">
        <f t="shared" si="21"/>
        <v>0.98523985239852396</v>
      </c>
      <c r="R233" s="5">
        <f t="shared" si="22"/>
        <v>0.83066666666666655</v>
      </c>
    </row>
    <row r="234" spans="1:18" x14ac:dyDescent="0.25">
      <c r="A234" s="3">
        <v>230</v>
      </c>
      <c r="B234" s="4">
        <v>46219</v>
      </c>
      <c r="C234" s="3" t="s">
        <v>25</v>
      </c>
      <c r="D234" s="3" t="s">
        <v>21</v>
      </c>
      <c r="E234" s="3" t="s">
        <v>20</v>
      </c>
      <c r="F234" s="3">
        <v>227</v>
      </c>
      <c r="G234" s="3">
        <v>225</v>
      </c>
      <c r="H234" s="3">
        <v>2</v>
      </c>
      <c r="I234" s="5">
        <f t="shared" si="18"/>
        <v>8.8105726872246704E-3</v>
      </c>
      <c r="J234" s="6">
        <f t="shared" si="23"/>
        <v>8810.5726872246705</v>
      </c>
      <c r="K234" s="7">
        <v>1.64</v>
      </c>
      <c r="L234" s="3">
        <v>402</v>
      </c>
      <c r="M234" s="3">
        <v>450</v>
      </c>
      <c r="N234" s="3">
        <v>48</v>
      </c>
      <c r="O234" s="5">
        <f t="shared" si="19"/>
        <v>0.89333333333333331</v>
      </c>
      <c r="P234" s="5">
        <f t="shared" si="20"/>
        <v>0.92606965174129341</v>
      </c>
      <c r="Q234" s="5">
        <f t="shared" si="21"/>
        <v>0.99118942731277537</v>
      </c>
      <c r="R234" s="5">
        <f t="shared" si="22"/>
        <v>0.81999999999999984</v>
      </c>
    </row>
    <row r="235" spans="1:18" x14ac:dyDescent="0.25">
      <c r="A235" s="3">
        <v>231</v>
      </c>
      <c r="B235" s="4">
        <v>46219</v>
      </c>
      <c r="C235" s="3" t="s">
        <v>25</v>
      </c>
      <c r="D235" s="3" t="s">
        <v>23</v>
      </c>
      <c r="E235" s="3" t="s">
        <v>22</v>
      </c>
      <c r="F235" s="3">
        <v>595</v>
      </c>
      <c r="G235" s="3">
        <v>581</v>
      </c>
      <c r="H235" s="3">
        <v>14</v>
      </c>
      <c r="I235" s="5">
        <f t="shared" si="18"/>
        <v>2.3529411764705882E-2</v>
      </c>
      <c r="J235" s="6">
        <f t="shared" si="23"/>
        <v>23529.411764705881</v>
      </c>
      <c r="K235" s="7">
        <v>0.56000000000000005</v>
      </c>
      <c r="L235" s="3">
        <v>405</v>
      </c>
      <c r="M235" s="3">
        <v>450</v>
      </c>
      <c r="N235" s="3">
        <v>45</v>
      </c>
      <c r="O235" s="5">
        <f t="shared" si="19"/>
        <v>0.9</v>
      </c>
      <c r="P235" s="5">
        <f t="shared" si="20"/>
        <v>0.82271604938271614</v>
      </c>
      <c r="Q235" s="5">
        <f t="shared" si="21"/>
        <v>0.97647058823529409</v>
      </c>
      <c r="R235" s="5">
        <f t="shared" si="22"/>
        <v>0.72302222222222234</v>
      </c>
    </row>
    <row r="236" spans="1:18" x14ac:dyDescent="0.25">
      <c r="A236" s="3">
        <v>232</v>
      </c>
      <c r="B236" s="4">
        <v>46219</v>
      </c>
      <c r="C236" s="3" t="s">
        <v>28</v>
      </c>
      <c r="D236" s="3" t="s">
        <v>19</v>
      </c>
      <c r="E236" s="3" t="s">
        <v>32</v>
      </c>
      <c r="F236" s="3">
        <v>175</v>
      </c>
      <c r="G236" s="3">
        <v>174</v>
      </c>
      <c r="H236" s="3">
        <v>1</v>
      </c>
      <c r="I236" s="5">
        <f t="shared" si="18"/>
        <v>5.7142857142857143E-3</v>
      </c>
      <c r="J236" s="6">
        <f t="shared" si="23"/>
        <v>5714.2857142857147</v>
      </c>
      <c r="K236" s="7">
        <v>1.79</v>
      </c>
      <c r="L236" s="3">
        <v>403</v>
      </c>
      <c r="M236" s="3">
        <v>450</v>
      </c>
      <c r="N236" s="3">
        <v>47</v>
      </c>
      <c r="O236" s="5">
        <f t="shared" si="19"/>
        <v>0.89555555555555555</v>
      </c>
      <c r="P236" s="5">
        <f t="shared" si="20"/>
        <v>0.77729528535980152</v>
      </c>
      <c r="Q236" s="5">
        <f t="shared" si="21"/>
        <v>0.99428571428571433</v>
      </c>
      <c r="R236" s="5">
        <f t="shared" si="22"/>
        <v>0.69213333333333338</v>
      </c>
    </row>
    <row r="237" spans="1:18" x14ac:dyDescent="0.25">
      <c r="A237" s="3">
        <v>233</v>
      </c>
      <c r="B237" s="4">
        <v>46219</v>
      </c>
      <c r="C237" s="3" t="s">
        <v>28</v>
      </c>
      <c r="D237" s="3" t="s">
        <v>21</v>
      </c>
      <c r="E237" s="3" t="s">
        <v>35</v>
      </c>
      <c r="F237" s="3">
        <v>185</v>
      </c>
      <c r="G237" s="3">
        <v>177</v>
      </c>
      <c r="H237" s="3">
        <v>8</v>
      </c>
      <c r="I237" s="5">
        <f t="shared" si="18"/>
        <v>4.3243243243243246E-2</v>
      </c>
      <c r="J237" s="6">
        <f t="shared" si="23"/>
        <v>43243.243243243247</v>
      </c>
      <c r="K237" s="7">
        <v>1.79</v>
      </c>
      <c r="L237" s="3">
        <v>410</v>
      </c>
      <c r="M237" s="3">
        <v>450</v>
      </c>
      <c r="N237" s="3">
        <v>40</v>
      </c>
      <c r="O237" s="5">
        <f t="shared" si="19"/>
        <v>0.91111111111111109</v>
      </c>
      <c r="P237" s="5">
        <f t="shared" si="20"/>
        <v>0.80768292682926834</v>
      </c>
      <c r="Q237" s="5">
        <f t="shared" si="21"/>
        <v>0.95675675675675675</v>
      </c>
      <c r="R237" s="5">
        <f t="shared" si="22"/>
        <v>0.70406666666666673</v>
      </c>
    </row>
    <row r="238" spans="1:18" x14ac:dyDescent="0.25">
      <c r="A238" s="3">
        <v>234</v>
      </c>
      <c r="B238" s="4">
        <v>46219</v>
      </c>
      <c r="C238" s="3" t="s">
        <v>28</v>
      </c>
      <c r="D238" s="3" t="s">
        <v>23</v>
      </c>
      <c r="E238" s="3" t="s">
        <v>20</v>
      </c>
      <c r="F238" s="3">
        <v>229</v>
      </c>
      <c r="G238" s="3">
        <v>222</v>
      </c>
      <c r="H238" s="3">
        <v>7</v>
      </c>
      <c r="I238" s="5">
        <f t="shared" si="18"/>
        <v>3.0567685589519649E-2</v>
      </c>
      <c r="J238" s="6">
        <f t="shared" si="23"/>
        <v>30567.68558951965</v>
      </c>
      <c r="K238" s="7">
        <v>1.63</v>
      </c>
      <c r="L238" s="3">
        <v>410</v>
      </c>
      <c r="M238" s="3">
        <v>450</v>
      </c>
      <c r="N238" s="3">
        <v>40</v>
      </c>
      <c r="O238" s="5">
        <f t="shared" si="19"/>
        <v>0.91111111111111109</v>
      </c>
      <c r="P238" s="5">
        <f t="shared" si="20"/>
        <v>0.91041463414634138</v>
      </c>
      <c r="Q238" s="5">
        <f t="shared" si="21"/>
        <v>0.96943231441048039</v>
      </c>
      <c r="R238" s="5">
        <f t="shared" si="22"/>
        <v>0.80413333333333326</v>
      </c>
    </row>
    <row r="239" spans="1:18" x14ac:dyDescent="0.25">
      <c r="A239" s="3">
        <v>235</v>
      </c>
      <c r="B239" s="4">
        <v>46219</v>
      </c>
      <c r="C239" s="3" t="s">
        <v>30</v>
      </c>
      <c r="D239" s="3" t="s">
        <v>19</v>
      </c>
      <c r="E239" s="3" t="s">
        <v>26</v>
      </c>
      <c r="F239" s="3">
        <v>496</v>
      </c>
      <c r="G239" s="3">
        <v>488</v>
      </c>
      <c r="H239" s="3">
        <v>8</v>
      </c>
      <c r="I239" s="5">
        <f t="shared" si="18"/>
        <v>1.6129032258064516E-2</v>
      </c>
      <c r="J239" s="6">
        <f t="shared" si="23"/>
        <v>16129.032258064515</v>
      </c>
      <c r="K239" s="7">
        <v>0.75</v>
      </c>
      <c r="L239" s="3">
        <v>401</v>
      </c>
      <c r="M239" s="3">
        <v>450</v>
      </c>
      <c r="N239" s="3">
        <v>49</v>
      </c>
      <c r="O239" s="5">
        <f t="shared" si="19"/>
        <v>0.89111111111111108</v>
      </c>
      <c r="P239" s="5">
        <f t="shared" si="20"/>
        <v>0.92768079800498748</v>
      </c>
      <c r="Q239" s="5">
        <f t="shared" si="21"/>
        <v>0.9838709677419355</v>
      </c>
      <c r="R239" s="5">
        <f t="shared" si="22"/>
        <v>0.81333333333333324</v>
      </c>
    </row>
    <row r="240" spans="1:18" x14ac:dyDescent="0.25">
      <c r="A240" s="3">
        <v>236</v>
      </c>
      <c r="B240" s="4">
        <v>46219</v>
      </c>
      <c r="C240" s="3" t="s">
        <v>30</v>
      </c>
      <c r="D240" s="3" t="s">
        <v>21</v>
      </c>
      <c r="E240" s="3" t="s">
        <v>26</v>
      </c>
      <c r="F240" s="3">
        <v>333</v>
      </c>
      <c r="G240" s="3">
        <v>332</v>
      </c>
      <c r="H240" s="3">
        <v>1</v>
      </c>
      <c r="I240" s="5">
        <f t="shared" si="18"/>
        <v>3.003003003003003E-3</v>
      </c>
      <c r="J240" s="6">
        <f t="shared" si="23"/>
        <v>3003.003003003003</v>
      </c>
      <c r="K240" s="7">
        <v>1.31</v>
      </c>
      <c r="L240" s="3">
        <v>442</v>
      </c>
      <c r="M240" s="3">
        <v>450</v>
      </c>
      <c r="N240" s="3">
        <v>8</v>
      </c>
      <c r="O240" s="5">
        <f t="shared" si="19"/>
        <v>0.98222222222222222</v>
      </c>
      <c r="P240" s="5">
        <f t="shared" si="20"/>
        <v>0.98694570135746607</v>
      </c>
      <c r="Q240" s="5">
        <f t="shared" si="21"/>
        <v>0.99699699699699695</v>
      </c>
      <c r="R240" s="5">
        <f t="shared" si="22"/>
        <v>0.96648888888888884</v>
      </c>
    </row>
    <row r="241" spans="1:18" x14ac:dyDescent="0.25">
      <c r="A241" s="3">
        <v>237</v>
      </c>
      <c r="B241" s="4">
        <v>46219</v>
      </c>
      <c r="C241" s="3" t="s">
        <v>30</v>
      </c>
      <c r="D241" s="3" t="s">
        <v>23</v>
      </c>
      <c r="E241" s="3" t="s">
        <v>26</v>
      </c>
      <c r="F241" s="3">
        <v>359</v>
      </c>
      <c r="G241" s="3">
        <v>354</v>
      </c>
      <c r="H241" s="3">
        <v>5</v>
      </c>
      <c r="I241" s="5">
        <f t="shared" si="18"/>
        <v>1.3927576601671309E-2</v>
      </c>
      <c r="J241" s="6">
        <f t="shared" si="23"/>
        <v>13927.57660167131</v>
      </c>
      <c r="K241" s="7">
        <v>1.21</v>
      </c>
      <c r="L241" s="3">
        <v>436</v>
      </c>
      <c r="M241" s="3">
        <v>450</v>
      </c>
      <c r="N241" s="3">
        <v>14</v>
      </c>
      <c r="O241" s="5">
        <f t="shared" si="19"/>
        <v>0.96888888888888891</v>
      </c>
      <c r="P241" s="5">
        <f t="shared" si="20"/>
        <v>0.99630733944954131</v>
      </c>
      <c r="Q241" s="5">
        <f t="shared" si="21"/>
        <v>0.98607242339832868</v>
      </c>
      <c r="R241" s="5">
        <f t="shared" si="22"/>
        <v>0.95186666666666664</v>
      </c>
    </row>
    <row r="242" spans="1:18" x14ac:dyDescent="0.25">
      <c r="A242" s="3">
        <v>238</v>
      </c>
      <c r="B242" s="4">
        <v>46219</v>
      </c>
      <c r="C242" s="3" t="s">
        <v>33</v>
      </c>
      <c r="D242" s="3" t="s">
        <v>19</v>
      </c>
      <c r="E242" s="3" t="s">
        <v>29</v>
      </c>
      <c r="F242" s="3">
        <v>319</v>
      </c>
      <c r="G242" s="3">
        <v>313</v>
      </c>
      <c r="H242" s="3">
        <v>6</v>
      </c>
      <c r="I242" s="5">
        <f t="shared" si="18"/>
        <v>1.8808777429467086E-2</v>
      </c>
      <c r="J242" s="6">
        <f t="shared" si="23"/>
        <v>18808.777429467085</v>
      </c>
      <c r="K242" s="7">
        <v>1.24</v>
      </c>
      <c r="L242" s="3">
        <v>431</v>
      </c>
      <c r="M242" s="3">
        <v>450</v>
      </c>
      <c r="N242" s="3">
        <v>19</v>
      </c>
      <c r="O242" s="5">
        <f t="shared" si="19"/>
        <v>0.95777777777777773</v>
      </c>
      <c r="P242" s="5">
        <f t="shared" si="20"/>
        <v>0.91777262180974484</v>
      </c>
      <c r="Q242" s="5">
        <f t="shared" si="21"/>
        <v>0.98119122257053293</v>
      </c>
      <c r="R242" s="5">
        <f t="shared" si="22"/>
        <v>0.86248888888888897</v>
      </c>
    </row>
    <row r="243" spans="1:18" x14ac:dyDescent="0.25">
      <c r="A243" s="3">
        <v>239</v>
      </c>
      <c r="B243" s="4">
        <v>46219</v>
      </c>
      <c r="C243" s="3" t="s">
        <v>33</v>
      </c>
      <c r="D243" s="3" t="s">
        <v>21</v>
      </c>
      <c r="E243" s="3" t="s">
        <v>34</v>
      </c>
      <c r="F243" s="3">
        <v>286</v>
      </c>
      <c r="G243" s="3">
        <v>276</v>
      </c>
      <c r="H243" s="3">
        <v>10</v>
      </c>
      <c r="I243" s="5">
        <f t="shared" si="18"/>
        <v>3.4965034965034968E-2</v>
      </c>
      <c r="J243" s="6">
        <f t="shared" si="23"/>
        <v>34965.034965034967</v>
      </c>
      <c r="K243" s="7">
        <v>1.33</v>
      </c>
      <c r="L243" s="3">
        <v>413</v>
      </c>
      <c r="M243" s="3">
        <v>450</v>
      </c>
      <c r="N243" s="3">
        <v>37</v>
      </c>
      <c r="O243" s="5">
        <f t="shared" si="19"/>
        <v>0.9177777777777778</v>
      </c>
      <c r="P243" s="5">
        <f t="shared" si="20"/>
        <v>0.9210169491525424</v>
      </c>
      <c r="Q243" s="5">
        <f t="shared" si="21"/>
        <v>0.965034965034965</v>
      </c>
      <c r="R243" s="5">
        <f t="shared" si="22"/>
        <v>0.81573333333333342</v>
      </c>
    </row>
    <row r="244" spans="1:18" x14ac:dyDescent="0.25">
      <c r="A244" s="3">
        <v>240</v>
      </c>
      <c r="B244" s="4">
        <v>46219</v>
      </c>
      <c r="C244" s="3" t="s">
        <v>33</v>
      </c>
      <c r="D244" s="3" t="s">
        <v>23</v>
      </c>
      <c r="E244" s="3" t="s">
        <v>27</v>
      </c>
      <c r="F244" s="3">
        <v>199</v>
      </c>
      <c r="G244" s="3">
        <v>194</v>
      </c>
      <c r="H244" s="3">
        <v>5</v>
      </c>
      <c r="I244" s="5">
        <f t="shared" si="18"/>
        <v>2.5125628140703519E-2</v>
      </c>
      <c r="J244" s="6">
        <f t="shared" si="23"/>
        <v>25125.62814070352</v>
      </c>
      <c r="K244" s="7">
        <v>1.78</v>
      </c>
      <c r="L244" s="3">
        <v>401</v>
      </c>
      <c r="M244" s="3">
        <v>450</v>
      </c>
      <c r="N244" s="3">
        <v>49</v>
      </c>
      <c r="O244" s="5">
        <f t="shared" si="19"/>
        <v>0.89111111111111108</v>
      </c>
      <c r="P244" s="5">
        <f t="shared" si="20"/>
        <v>0.88334164588528685</v>
      </c>
      <c r="Q244" s="5">
        <f t="shared" si="21"/>
        <v>0.97487437185929648</v>
      </c>
      <c r="R244" s="5">
        <f t="shared" si="22"/>
        <v>0.76737777777777783</v>
      </c>
    </row>
    <row r="245" spans="1:18" x14ac:dyDescent="0.25">
      <c r="A245" s="3">
        <v>241</v>
      </c>
      <c r="B245" s="4">
        <v>46220</v>
      </c>
      <c r="C245" s="3" t="s">
        <v>18</v>
      </c>
      <c r="D245" s="3" t="s">
        <v>19</v>
      </c>
      <c r="E245" s="3" t="s">
        <v>32</v>
      </c>
      <c r="F245" s="3">
        <v>1089</v>
      </c>
      <c r="G245" s="3">
        <v>1067</v>
      </c>
      <c r="H245" s="3">
        <v>22</v>
      </c>
      <c r="I245" s="5">
        <f t="shared" si="18"/>
        <v>2.0202020202020204E-2</v>
      </c>
      <c r="J245" s="6">
        <f t="shared" si="23"/>
        <v>20202.020202020205</v>
      </c>
      <c r="K245" s="7">
        <v>0.37</v>
      </c>
      <c r="L245" s="3">
        <v>443</v>
      </c>
      <c r="M245" s="3">
        <v>450</v>
      </c>
      <c r="N245" s="3">
        <v>7</v>
      </c>
      <c r="O245" s="5">
        <f t="shared" si="19"/>
        <v>0.98444444444444446</v>
      </c>
      <c r="P245" s="5">
        <f t="shared" si="20"/>
        <v>0.90954853273137704</v>
      </c>
      <c r="Q245" s="5">
        <f t="shared" si="21"/>
        <v>0.97979797979797978</v>
      </c>
      <c r="R245" s="5">
        <f t="shared" si="22"/>
        <v>0.87731111111111115</v>
      </c>
    </row>
    <row r="246" spans="1:18" x14ac:dyDescent="0.25">
      <c r="A246" s="3">
        <v>242</v>
      </c>
      <c r="B246" s="4">
        <v>46220</v>
      </c>
      <c r="C246" s="3" t="s">
        <v>18</v>
      </c>
      <c r="D246" s="3" t="s">
        <v>21</v>
      </c>
      <c r="E246" s="3" t="s">
        <v>27</v>
      </c>
      <c r="F246" s="3">
        <v>812</v>
      </c>
      <c r="G246" s="3">
        <v>796</v>
      </c>
      <c r="H246" s="3">
        <v>16</v>
      </c>
      <c r="I246" s="5">
        <f t="shared" si="18"/>
        <v>1.9704433497536946E-2</v>
      </c>
      <c r="J246" s="6">
        <f t="shared" si="23"/>
        <v>19704.433497536946</v>
      </c>
      <c r="K246" s="7">
        <v>0.49</v>
      </c>
      <c r="L246" s="3">
        <v>397</v>
      </c>
      <c r="M246" s="3">
        <v>450</v>
      </c>
      <c r="N246" s="3">
        <v>53</v>
      </c>
      <c r="O246" s="5">
        <f t="shared" si="19"/>
        <v>0.88222222222222224</v>
      </c>
      <c r="P246" s="5">
        <f t="shared" si="20"/>
        <v>1.0022166246851385</v>
      </c>
      <c r="Q246" s="5">
        <f t="shared" si="21"/>
        <v>0.98029556650246308</v>
      </c>
      <c r="R246" s="5">
        <f t="shared" si="22"/>
        <v>0.8667555555555555</v>
      </c>
    </row>
    <row r="247" spans="1:18" x14ac:dyDescent="0.25">
      <c r="A247" s="3">
        <v>243</v>
      </c>
      <c r="B247" s="4">
        <v>46220</v>
      </c>
      <c r="C247" s="3" t="s">
        <v>18</v>
      </c>
      <c r="D247" s="3" t="s">
        <v>23</v>
      </c>
      <c r="E247" s="3" t="s">
        <v>24</v>
      </c>
      <c r="F247" s="3">
        <v>317</v>
      </c>
      <c r="G247" s="3">
        <v>314</v>
      </c>
      <c r="H247" s="3">
        <v>3</v>
      </c>
      <c r="I247" s="5">
        <f t="shared" si="18"/>
        <v>9.4637223974763408E-3</v>
      </c>
      <c r="J247" s="6">
        <f t="shared" si="23"/>
        <v>9463.7223974763401</v>
      </c>
      <c r="K247" s="7">
        <v>1.34</v>
      </c>
      <c r="L247" s="3">
        <v>417</v>
      </c>
      <c r="M247" s="3">
        <v>450</v>
      </c>
      <c r="N247" s="3">
        <v>33</v>
      </c>
      <c r="O247" s="5">
        <f t="shared" si="19"/>
        <v>0.92666666666666664</v>
      </c>
      <c r="P247" s="5">
        <f t="shared" si="20"/>
        <v>1.0186570743405277</v>
      </c>
      <c r="Q247" s="5">
        <f t="shared" si="21"/>
        <v>0.99053627760252361</v>
      </c>
      <c r="R247" s="5">
        <f t="shared" si="22"/>
        <v>0.9350222222222222</v>
      </c>
    </row>
    <row r="248" spans="1:18" x14ac:dyDescent="0.25">
      <c r="A248" s="3">
        <v>244</v>
      </c>
      <c r="B248" s="4">
        <v>46220</v>
      </c>
      <c r="C248" s="3" t="s">
        <v>25</v>
      </c>
      <c r="D248" s="3" t="s">
        <v>19</v>
      </c>
      <c r="E248" s="3" t="s">
        <v>34</v>
      </c>
      <c r="F248" s="3">
        <v>677</v>
      </c>
      <c r="G248" s="3">
        <v>649</v>
      </c>
      <c r="H248" s="3">
        <v>28</v>
      </c>
      <c r="I248" s="5">
        <f t="shared" si="18"/>
        <v>4.1358936484490398E-2</v>
      </c>
      <c r="J248" s="6">
        <f t="shared" si="23"/>
        <v>41358.936484490398</v>
      </c>
      <c r="K248" s="7">
        <v>0.64</v>
      </c>
      <c r="L248" s="3">
        <v>436</v>
      </c>
      <c r="M248" s="3">
        <v>450</v>
      </c>
      <c r="N248" s="3">
        <v>14</v>
      </c>
      <c r="O248" s="5">
        <f t="shared" si="19"/>
        <v>0.96888888888888891</v>
      </c>
      <c r="P248" s="5">
        <f t="shared" si="20"/>
        <v>0.99376146788990838</v>
      </c>
      <c r="Q248" s="5">
        <f t="shared" si="21"/>
        <v>0.95864106351550959</v>
      </c>
      <c r="R248" s="5">
        <f t="shared" si="22"/>
        <v>0.92302222222222241</v>
      </c>
    </row>
    <row r="249" spans="1:18" x14ac:dyDescent="0.25">
      <c r="A249" s="3">
        <v>245</v>
      </c>
      <c r="B249" s="4">
        <v>46220</v>
      </c>
      <c r="C249" s="3" t="s">
        <v>25</v>
      </c>
      <c r="D249" s="3" t="s">
        <v>21</v>
      </c>
      <c r="E249" s="3" t="s">
        <v>26</v>
      </c>
      <c r="F249" s="3">
        <v>620</v>
      </c>
      <c r="G249" s="3">
        <v>595</v>
      </c>
      <c r="H249" s="3">
        <v>25</v>
      </c>
      <c r="I249" s="5">
        <f t="shared" si="18"/>
        <v>4.0322580645161289E-2</v>
      </c>
      <c r="J249" s="6">
        <f t="shared" si="23"/>
        <v>40322.580645161288</v>
      </c>
      <c r="K249" s="7">
        <v>0.66</v>
      </c>
      <c r="L249" s="3">
        <v>425</v>
      </c>
      <c r="M249" s="3">
        <v>450</v>
      </c>
      <c r="N249" s="3">
        <v>25</v>
      </c>
      <c r="O249" s="5">
        <f t="shared" si="19"/>
        <v>0.94444444444444442</v>
      </c>
      <c r="P249" s="5">
        <f t="shared" si="20"/>
        <v>0.96282352941176486</v>
      </c>
      <c r="Q249" s="5">
        <f t="shared" si="21"/>
        <v>0.95967741935483875</v>
      </c>
      <c r="R249" s="5">
        <f t="shared" si="22"/>
        <v>0.87266666666666681</v>
      </c>
    </row>
    <row r="250" spans="1:18" x14ac:dyDescent="0.25">
      <c r="A250" s="3">
        <v>246</v>
      </c>
      <c r="B250" s="4">
        <v>46220</v>
      </c>
      <c r="C250" s="3" t="s">
        <v>25</v>
      </c>
      <c r="D250" s="3" t="s">
        <v>23</v>
      </c>
      <c r="E250" s="3" t="s">
        <v>20</v>
      </c>
      <c r="F250" s="3">
        <v>421</v>
      </c>
      <c r="G250" s="3">
        <v>407</v>
      </c>
      <c r="H250" s="3">
        <v>14</v>
      </c>
      <c r="I250" s="5">
        <f t="shared" si="18"/>
        <v>3.3254156769596199E-2</v>
      </c>
      <c r="J250" s="6">
        <f t="shared" si="23"/>
        <v>33254.1567695962</v>
      </c>
      <c r="K250" s="7">
        <v>0.9</v>
      </c>
      <c r="L250" s="3">
        <v>417</v>
      </c>
      <c r="M250" s="3">
        <v>450</v>
      </c>
      <c r="N250" s="3">
        <v>33</v>
      </c>
      <c r="O250" s="5">
        <f t="shared" si="19"/>
        <v>0.92666666666666664</v>
      </c>
      <c r="P250" s="5">
        <f t="shared" si="20"/>
        <v>0.90863309352517996</v>
      </c>
      <c r="Q250" s="5">
        <f t="shared" si="21"/>
        <v>0.9667458432304038</v>
      </c>
      <c r="R250" s="5">
        <f t="shared" si="22"/>
        <v>0.81400000000000006</v>
      </c>
    </row>
    <row r="251" spans="1:18" x14ac:dyDescent="0.25">
      <c r="A251" s="3">
        <v>247</v>
      </c>
      <c r="B251" s="4">
        <v>46220</v>
      </c>
      <c r="C251" s="3" t="s">
        <v>28</v>
      </c>
      <c r="D251" s="3" t="s">
        <v>19</v>
      </c>
      <c r="E251" s="3" t="s">
        <v>34</v>
      </c>
      <c r="F251" s="3">
        <v>270</v>
      </c>
      <c r="G251" s="3">
        <v>268</v>
      </c>
      <c r="H251" s="3">
        <v>2</v>
      </c>
      <c r="I251" s="5">
        <f t="shared" si="18"/>
        <v>7.4074074074074077E-3</v>
      </c>
      <c r="J251" s="6">
        <f t="shared" si="23"/>
        <v>7407.4074074074078</v>
      </c>
      <c r="K251" s="7">
        <v>1.41</v>
      </c>
      <c r="L251" s="3">
        <v>413</v>
      </c>
      <c r="M251" s="3">
        <v>450</v>
      </c>
      <c r="N251" s="3">
        <v>37</v>
      </c>
      <c r="O251" s="5">
        <f t="shared" si="19"/>
        <v>0.9177777777777778</v>
      </c>
      <c r="P251" s="5">
        <f t="shared" si="20"/>
        <v>0.92179176755447945</v>
      </c>
      <c r="Q251" s="5">
        <f t="shared" si="21"/>
        <v>0.99259259259259258</v>
      </c>
      <c r="R251" s="5">
        <f t="shared" si="22"/>
        <v>0.83973333333333344</v>
      </c>
    </row>
    <row r="252" spans="1:18" x14ac:dyDescent="0.25">
      <c r="A252" s="3">
        <v>248</v>
      </c>
      <c r="B252" s="4">
        <v>46220</v>
      </c>
      <c r="C252" s="3" t="s">
        <v>28</v>
      </c>
      <c r="D252" s="3" t="s">
        <v>21</v>
      </c>
      <c r="E252" s="3" t="s">
        <v>29</v>
      </c>
      <c r="F252" s="3">
        <v>238</v>
      </c>
      <c r="G252" s="3">
        <v>229</v>
      </c>
      <c r="H252" s="3">
        <v>9</v>
      </c>
      <c r="I252" s="5">
        <f t="shared" si="18"/>
        <v>3.7815126050420166E-2</v>
      </c>
      <c r="J252" s="6">
        <f t="shared" si="23"/>
        <v>37815.126050420164</v>
      </c>
      <c r="K252" s="7">
        <v>1.66</v>
      </c>
      <c r="L252" s="3">
        <v>398</v>
      </c>
      <c r="M252" s="3">
        <v>450</v>
      </c>
      <c r="N252" s="3">
        <v>52</v>
      </c>
      <c r="O252" s="5">
        <f t="shared" si="19"/>
        <v>0.88444444444444448</v>
      </c>
      <c r="P252" s="5">
        <f t="shared" si="20"/>
        <v>0.99266331658291451</v>
      </c>
      <c r="Q252" s="5">
        <f t="shared" si="21"/>
        <v>0.96218487394957986</v>
      </c>
      <c r="R252" s="5">
        <f t="shared" si="22"/>
        <v>0.84475555555555548</v>
      </c>
    </row>
    <row r="253" spans="1:18" x14ac:dyDescent="0.25">
      <c r="A253" s="3">
        <v>249</v>
      </c>
      <c r="B253" s="4">
        <v>46220</v>
      </c>
      <c r="C253" s="3" t="s">
        <v>28</v>
      </c>
      <c r="D253" s="3" t="s">
        <v>23</v>
      </c>
      <c r="E253" s="3" t="s">
        <v>20</v>
      </c>
      <c r="F253" s="3">
        <v>877</v>
      </c>
      <c r="G253" s="3">
        <v>874</v>
      </c>
      <c r="H253" s="3">
        <v>3</v>
      </c>
      <c r="I253" s="5">
        <f t="shared" si="18"/>
        <v>3.4207525655644243E-3</v>
      </c>
      <c r="J253" s="6">
        <f t="shared" si="23"/>
        <v>3420.7525655644245</v>
      </c>
      <c r="K253" s="7">
        <v>0.49</v>
      </c>
      <c r="L253" s="3">
        <v>445</v>
      </c>
      <c r="M253" s="3">
        <v>450</v>
      </c>
      <c r="N253" s="3">
        <v>5</v>
      </c>
      <c r="O253" s="5">
        <f t="shared" si="19"/>
        <v>0.98888888888888893</v>
      </c>
      <c r="P253" s="5">
        <f t="shared" si="20"/>
        <v>0.96568539325842706</v>
      </c>
      <c r="Q253" s="5">
        <f t="shared" si="21"/>
        <v>0.9965792474344356</v>
      </c>
      <c r="R253" s="5">
        <f t="shared" si="22"/>
        <v>0.95168888888888903</v>
      </c>
    </row>
    <row r="254" spans="1:18" x14ac:dyDescent="0.25">
      <c r="A254" s="3">
        <v>250</v>
      </c>
      <c r="B254" s="4">
        <v>46220</v>
      </c>
      <c r="C254" s="3" t="s">
        <v>30</v>
      </c>
      <c r="D254" s="3" t="s">
        <v>19</v>
      </c>
      <c r="E254" s="3" t="s">
        <v>22</v>
      </c>
      <c r="F254" s="3">
        <v>213</v>
      </c>
      <c r="G254" s="3">
        <v>206</v>
      </c>
      <c r="H254" s="3">
        <v>7</v>
      </c>
      <c r="I254" s="5">
        <f t="shared" si="18"/>
        <v>3.2863849765258218E-2</v>
      </c>
      <c r="J254" s="6">
        <f t="shared" si="23"/>
        <v>32863.849765258215</v>
      </c>
      <c r="K254" s="7">
        <v>1.77</v>
      </c>
      <c r="L254" s="3">
        <v>433</v>
      </c>
      <c r="M254" s="3">
        <v>450</v>
      </c>
      <c r="N254" s="3">
        <v>17</v>
      </c>
      <c r="O254" s="5">
        <f t="shared" si="19"/>
        <v>0.9622222222222222</v>
      </c>
      <c r="P254" s="5">
        <f t="shared" si="20"/>
        <v>0.8706928406466512</v>
      </c>
      <c r="Q254" s="5">
        <f t="shared" si="21"/>
        <v>0.96713615023474175</v>
      </c>
      <c r="R254" s="5">
        <f t="shared" si="22"/>
        <v>0.81026666666666647</v>
      </c>
    </row>
    <row r="255" spans="1:18" x14ac:dyDescent="0.25">
      <c r="A255" s="3">
        <v>251</v>
      </c>
      <c r="B255" s="4">
        <v>46220</v>
      </c>
      <c r="C255" s="3" t="s">
        <v>30</v>
      </c>
      <c r="D255" s="3" t="s">
        <v>21</v>
      </c>
      <c r="E255" s="3" t="s">
        <v>29</v>
      </c>
      <c r="F255" s="3">
        <v>213</v>
      </c>
      <c r="G255" s="3">
        <v>207</v>
      </c>
      <c r="H255" s="3">
        <v>6</v>
      </c>
      <c r="I255" s="5">
        <f t="shared" si="18"/>
        <v>2.8169014084507043E-2</v>
      </c>
      <c r="J255" s="6">
        <f t="shared" si="23"/>
        <v>28169.014084507042</v>
      </c>
      <c r="K255" s="7">
        <v>1.64</v>
      </c>
      <c r="L255" s="3">
        <v>407</v>
      </c>
      <c r="M255" s="3">
        <v>450</v>
      </c>
      <c r="N255" s="3">
        <v>43</v>
      </c>
      <c r="O255" s="5">
        <f t="shared" si="19"/>
        <v>0.9044444444444445</v>
      </c>
      <c r="P255" s="5">
        <f t="shared" si="20"/>
        <v>0.85828009828009821</v>
      </c>
      <c r="Q255" s="5">
        <f t="shared" si="21"/>
        <v>0.971830985915493</v>
      </c>
      <c r="R255" s="5">
        <f t="shared" si="22"/>
        <v>0.75440000000000007</v>
      </c>
    </row>
    <row r="256" spans="1:18" x14ac:dyDescent="0.25">
      <c r="A256" s="3">
        <v>252</v>
      </c>
      <c r="B256" s="4">
        <v>46220</v>
      </c>
      <c r="C256" s="3" t="s">
        <v>30</v>
      </c>
      <c r="D256" s="3" t="s">
        <v>23</v>
      </c>
      <c r="E256" s="3" t="s">
        <v>22</v>
      </c>
      <c r="F256" s="3">
        <v>312</v>
      </c>
      <c r="G256" s="3">
        <v>303</v>
      </c>
      <c r="H256" s="3">
        <v>9</v>
      </c>
      <c r="I256" s="5">
        <f t="shared" si="18"/>
        <v>2.8846153846153848E-2</v>
      </c>
      <c r="J256" s="6">
        <f t="shared" si="23"/>
        <v>28846.153846153848</v>
      </c>
      <c r="K256" s="7">
        <v>1.19</v>
      </c>
      <c r="L256" s="3">
        <v>421</v>
      </c>
      <c r="M256" s="3">
        <v>450</v>
      </c>
      <c r="N256" s="3">
        <v>29</v>
      </c>
      <c r="O256" s="5">
        <f t="shared" si="19"/>
        <v>0.93555555555555558</v>
      </c>
      <c r="P256" s="5">
        <f t="shared" si="20"/>
        <v>0.88190023752969116</v>
      </c>
      <c r="Q256" s="5">
        <f t="shared" si="21"/>
        <v>0.97115384615384615</v>
      </c>
      <c r="R256" s="5">
        <f t="shared" si="22"/>
        <v>0.80126666666666657</v>
      </c>
    </row>
    <row r="257" spans="1:18" x14ac:dyDescent="0.25">
      <c r="A257" s="3">
        <v>253</v>
      </c>
      <c r="B257" s="4">
        <v>46220</v>
      </c>
      <c r="C257" s="3" t="s">
        <v>33</v>
      </c>
      <c r="D257" s="3" t="s">
        <v>19</v>
      </c>
      <c r="E257" s="3" t="s">
        <v>20</v>
      </c>
      <c r="F257" s="3">
        <v>201</v>
      </c>
      <c r="G257" s="3">
        <v>197</v>
      </c>
      <c r="H257" s="3">
        <v>4</v>
      </c>
      <c r="I257" s="5">
        <f t="shared" si="18"/>
        <v>1.9900497512437811E-2</v>
      </c>
      <c r="J257" s="6">
        <f t="shared" si="23"/>
        <v>19900.497512437811</v>
      </c>
      <c r="K257" s="7">
        <v>1.71</v>
      </c>
      <c r="L257" s="3">
        <v>415</v>
      </c>
      <c r="M257" s="3">
        <v>450</v>
      </c>
      <c r="N257" s="3">
        <v>35</v>
      </c>
      <c r="O257" s="5">
        <f t="shared" si="19"/>
        <v>0.92222222222222228</v>
      </c>
      <c r="P257" s="5">
        <f t="shared" si="20"/>
        <v>0.82821686746987944</v>
      </c>
      <c r="Q257" s="5">
        <f t="shared" si="21"/>
        <v>0.98009950248756217</v>
      </c>
      <c r="R257" s="5">
        <f t="shared" si="22"/>
        <v>0.74859999999999993</v>
      </c>
    </row>
    <row r="258" spans="1:18" x14ac:dyDescent="0.25">
      <c r="A258" s="3">
        <v>254</v>
      </c>
      <c r="B258" s="4">
        <v>46220</v>
      </c>
      <c r="C258" s="3" t="s">
        <v>33</v>
      </c>
      <c r="D258" s="3" t="s">
        <v>21</v>
      </c>
      <c r="E258" s="3" t="s">
        <v>26</v>
      </c>
      <c r="F258" s="3">
        <v>368</v>
      </c>
      <c r="G258" s="3">
        <v>364</v>
      </c>
      <c r="H258" s="3">
        <v>4</v>
      </c>
      <c r="I258" s="5">
        <f t="shared" si="18"/>
        <v>1.0869565217391304E-2</v>
      </c>
      <c r="J258" s="6">
        <f t="shared" si="23"/>
        <v>10869.565217391304</v>
      </c>
      <c r="K258" s="7">
        <v>0.92</v>
      </c>
      <c r="L258" s="3">
        <v>417</v>
      </c>
      <c r="M258" s="3">
        <v>450</v>
      </c>
      <c r="N258" s="3">
        <v>33</v>
      </c>
      <c r="O258" s="5">
        <f t="shared" si="19"/>
        <v>0.92666666666666664</v>
      </c>
      <c r="P258" s="5">
        <f t="shared" si="20"/>
        <v>0.81189448441247003</v>
      </c>
      <c r="Q258" s="5">
        <f t="shared" si="21"/>
        <v>0.98913043478260865</v>
      </c>
      <c r="R258" s="5">
        <f t="shared" si="22"/>
        <v>0.74417777777777772</v>
      </c>
    </row>
    <row r="259" spans="1:18" x14ac:dyDescent="0.25">
      <c r="A259" s="3">
        <v>255</v>
      </c>
      <c r="B259" s="4">
        <v>46220</v>
      </c>
      <c r="C259" s="3" t="s">
        <v>33</v>
      </c>
      <c r="D259" s="3" t="s">
        <v>23</v>
      </c>
      <c r="E259" s="3" t="s">
        <v>27</v>
      </c>
      <c r="F259" s="3">
        <v>336</v>
      </c>
      <c r="G259" s="3">
        <v>332</v>
      </c>
      <c r="H259" s="3">
        <v>4</v>
      </c>
      <c r="I259" s="5">
        <f t="shared" si="18"/>
        <v>1.1904761904761904E-2</v>
      </c>
      <c r="J259" s="6">
        <f t="shared" si="23"/>
        <v>11904.761904761905</v>
      </c>
      <c r="K259" s="7">
        <v>1.34</v>
      </c>
      <c r="L259" s="3">
        <v>443</v>
      </c>
      <c r="M259" s="3">
        <v>450</v>
      </c>
      <c r="N259" s="3">
        <v>7</v>
      </c>
      <c r="O259" s="5">
        <f t="shared" si="19"/>
        <v>0.98444444444444446</v>
      </c>
      <c r="P259" s="5">
        <f t="shared" si="20"/>
        <v>1.0163431151241535</v>
      </c>
      <c r="Q259" s="5">
        <f t="shared" si="21"/>
        <v>0.98809523809523814</v>
      </c>
      <c r="R259" s="5">
        <f t="shared" si="22"/>
        <v>0.98862222222222218</v>
      </c>
    </row>
    <row r="260" spans="1:18" x14ac:dyDescent="0.25">
      <c r="A260" s="3">
        <v>256</v>
      </c>
      <c r="B260" s="4">
        <v>46221</v>
      </c>
      <c r="C260" s="3" t="s">
        <v>18</v>
      </c>
      <c r="D260" s="3" t="s">
        <v>19</v>
      </c>
      <c r="E260" s="3" t="s">
        <v>32</v>
      </c>
      <c r="F260" s="3">
        <v>839</v>
      </c>
      <c r="G260" s="3">
        <v>805</v>
      </c>
      <c r="H260" s="3">
        <v>34</v>
      </c>
      <c r="I260" s="5">
        <f t="shared" si="18"/>
        <v>4.0524433849821219E-2</v>
      </c>
      <c r="J260" s="6">
        <f t="shared" si="23"/>
        <v>40524.433849821216</v>
      </c>
      <c r="K260" s="7">
        <v>0.49</v>
      </c>
      <c r="L260" s="3">
        <v>425</v>
      </c>
      <c r="M260" s="3">
        <v>450</v>
      </c>
      <c r="N260" s="3">
        <v>25</v>
      </c>
      <c r="O260" s="5">
        <f t="shared" si="19"/>
        <v>0.94444444444444442</v>
      </c>
      <c r="P260" s="5">
        <f t="shared" si="20"/>
        <v>0.96731764705882362</v>
      </c>
      <c r="Q260" s="5">
        <f t="shared" si="21"/>
        <v>0.95947556615017882</v>
      </c>
      <c r="R260" s="5">
        <f t="shared" si="22"/>
        <v>0.87655555555555564</v>
      </c>
    </row>
    <row r="261" spans="1:18" x14ac:dyDescent="0.25">
      <c r="A261" s="3">
        <v>257</v>
      </c>
      <c r="B261" s="4">
        <v>46221</v>
      </c>
      <c r="C261" s="3" t="s">
        <v>18</v>
      </c>
      <c r="D261" s="3" t="s">
        <v>21</v>
      </c>
      <c r="E261" s="3" t="s">
        <v>34</v>
      </c>
      <c r="F261" s="3">
        <v>458</v>
      </c>
      <c r="G261" s="3">
        <v>447</v>
      </c>
      <c r="H261" s="3">
        <v>11</v>
      </c>
      <c r="I261" s="5">
        <f t="shared" ref="I261:I324" si="24">IFERROR(H261/F261,0)</f>
        <v>2.4017467248908297E-2</v>
      </c>
      <c r="J261" s="6">
        <f t="shared" si="23"/>
        <v>24017.467248908299</v>
      </c>
      <c r="K261" s="7">
        <v>0.75</v>
      </c>
      <c r="L261" s="3">
        <v>416</v>
      </c>
      <c r="M261" s="3">
        <v>450</v>
      </c>
      <c r="N261" s="3">
        <v>34</v>
      </c>
      <c r="O261" s="5">
        <f t="shared" ref="O261:O324" si="25">IFERROR(L261/M261,0)</f>
        <v>0.9244444444444444</v>
      </c>
      <c r="P261" s="5">
        <f t="shared" ref="P261:P324" si="26">IFERROR(F261*K261/L261,0)</f>
        <v>0.82572115384615385</v>
      </c>
      <c r="Q261" s="5">
        <f t="shared" ref="Q261:Q324" si="27">IFERROR(G261/F261,0)</f>
        <v>0.9759825327510917</v>
      </c>
      <c r="R261" s="5">
        <f t="shared" ref="R261:R324" si="28">O261*P261*Q261</f>
        <v>0.745</v>
      </c>
    </row>
    <row r="262" spans="1:18" x14ac:dyDescent="0.25">
      <c r="A262" s="3">
        <v>258</v>
      </c>
      <c r="B262" s="4">
        <v>46221</v>
      </c>
      <c r="C262" s="3" t="s">
        <v>18</v>
      </c>
      <c r="D262" s="3" t="s">
        <v>23</v>
      </c>
      <c r="E262" s="3" t="s">
        <v>34</v>
      </c>
      <c r="F262" s="3">
        <v>355</v>
      </c>
      <c r="G262" s="3">
        <v>353</v>
      </c>
      <c r="H262" s="3">
        <v>2</v>
      </c>
      <c r="I262" s="5">
        <f t="shared" si="24"/>
        <v>5.6338028169014088E-3</v>
      </c>
      <c r="J262" s="6">
        <f t="shared" ref="J262:J325" si="29">H262/F262*1000000</f>
        <v>5633.8028169014087</v>
      </c>
      <c r="K262" s="7">
        <v>1.03</v>
      </c>
      <c r="L262" s="3">
        <v>433</v>
      </c>
      <c r="M262" s="3">
        <v>450</v>
      </c>
      <c r="N262" s="3">
        <v>17</v>
      </c>
      <c r="O262" s="5">
        <f t="shared" si="25"/>
        <v>0.9622222222222222</v>
      </c>
      <c r="P262" s="5">
        <f t="shared" si="26"/>
        <v>0.84445727482678989</v>
      </c>
      <c r="Q262" s="5">
        <f t="shared" si="27"/>
        <v>0.9943661971830986</v>
      </c>
      <c r="R262" s="5">
        <f t="shared" si="28"/>
        <v>0.80797777777777779</v>
      </c>
    </row>
    <row r="263" spans="1:18" x14ac:dyDescent="0.25">
      <c r="A263" s="3">
        <v>259</v>
      </c>
      <c r="B263" s="4">
        <v>46221</v>
      </c>
      <c r="C263" s="3" t="s">
        <v>25</v>
      </c>
      <c r="D263" s="3" t="s">
        <v>19</v>
      </c>
      <c r="E263" s="3" t="s">
        <v>26</v>
      </c>
      <c r="F263" s="3">
        <v>395</v>
      </c>
      <c r="G263" s="3">
        <v>386</v>
      </c>
      <c r="H263" s="3">
        <v>9</v>
      </c>
      <c r="I263" s="5">
        <f t="shared" si="24"/>
        <v>2.2784810126582278E-2</v>
      </c>
      <c r="J263" s="6">
        <f t="shared" si="29"/>
        <v>22784.810126582277</v>
      </c>
      <c r="K263" s="7">
        <v>1.05</v>
      </c>
      <c r="L263" s="3">
        <v>440</v>
      </c>
      <c r="M263" s="3">
        <v>450</v>
      </c>
      <c r="N263" s="3">
        <v>10</v>
      </c>
      <c r="O263" s="5">
        <f t="shared" si="25"/>
        <v>0.97777777777777775</v>
      </c>
      <c r="P263" s="5">
        <f t="shared" si="26"/>
        <v>0.94261363636363638</v>
      </c>
      <c r="Q263" s="5">
        <f t="shared" si="27"/>
        <v>0.97721518987341771</v>
      </c>
      <c r="R263" s="5">
        <f t="shared" si="28"/>
        <v>0.90066666666666662</v>
      </c>
    </row>
    <row r="264" spans="1:18" x14ac:dyDescent="0.25">
      <c r="A264" s="3">
        <v>260</v>
      </c>
      <c r="B264" s="4">
        <v>46221</v>
      </c>
      <c r="C264" s="3" t="s">
        <v>25</v>
      </c>
      <c r="D264" s="3" t="s">
        <v>21</v>
      </c>
      <c r="E264" s="3" t="s">
        <v>32</v>
      </c>
      <c r="F264" s="3">
        <v>639</v>
      </c>
      <c r="G264" s="3">
        <v>629</v>
      </c>
      <c r="H264" s="3">
        <v>10</v>
      </c>
      <c r="I264" s="5">
        <f t="shared" si="24"/>
        <v>1.5649452269170579E-2</v>
      </c>
      <c r="J264" s="6">
        <f t="shared" si="29"/>
        <v>15649.452269170579</v>
      </c>
      <c r="K264" s="7">
        <v>0.51</v>
      </c>
      <c r="L264" s="3">
        <v>387</v>
      </c>
      <c r="M264" s="3">
        <v>450</v>
      </c>
      <c r="N264" s="3">
        <v>63</v>
      </c>
      <c r="O264" s="5">
        <f t="shared" si="25"/>
        <v>0.86</v>
      </c>
      <c r="P264" s="5">
        <f t="shared" si="26"/>
        <v>0.84209302325581392</v>
      </c>
      <c r="Q264" s="5">
        <f t="shared" si="27"/>
        <v>0.98435054773082942</v>
      </c>
      <c r="R264" s="5">
        <f t="shared" si="28"/>
        <v>0.71286666666666665</v>
      </c>
    </row>
    <row r="265" spans="1:18" x14ac:dyDescent="0.25">
      <c r="A265" s="3">
        <v>261</v>
      </c>
      <c r="B265" s="4">
        <v>46221</v>
      </c>
      <c r="C265" s="3" t="s">
        <v>25</v>
      </c>
      <c r="D265" s="3" t="s">
        <v>23</v>
      </c>
      <c r="E265" s="3" t="s">
        <v>22</v>
      </c>
      <c r="F265" s="3">
        <v>294</v>
      </c>
      <c r="G265" s="3">
        <v>281</v>
      </c>
      <c r="H265" s="3">
        <v>13</v>
      </c>
      <c r="I265" s="5">
        <f t="shared" si="24"/>
        <v>4.4217687074829932E-2</v>
      </c>
      <c r="J265" s="6">
        <f t="shared" si="29"/>
        <v>44217.687074829933</v>
      </c>
      <c r="K265" s="7">
        <v>1.46</v>
      </c>
      <c r="L265" s="3">
        <v>427</v>
      </c>
      <c r="M265" s="3">
        <v>450</v>
      </c>
      <c r="N265" s="3">
        <v>23</v>
      </c>
      <c r="O265" s="5">
        <f t="shared" si="25"/>
        <v>0.94888888888888889</v>
      </c>
      <c r="P265" s="5">
        <f t="shared" si="26"/>
        <v>1.0052459016393442</v>
      </c>
      <c r="Q265" s="5">
        <f t="shared" si="27"/>
        <v>0.95578231292517002</v>
      </c>
      <c r="R265" s="5">
        <f t="shared" si="28"/>
        <v>0.91168888888888877</v>
      </c>
    </row>
    <row r="266" spans="1:18" x14ac:dyDescent="0.25">
      <c r="A266" s="3">
        <v>262</v>
      </c>
      <c r="B266" s="4">
        <v>46221</v>
      </c>
      <c r="C266" s="3" t="s">
        <v>28</v>
      </c>
      <c r="D266" s="3" t="s">
        <v>19</v>
      </c>
      <c r="E266" s="3" t="s">
        <v>27</v>
      </c>
      <c r="F266" s="3">
        <v>225</v>
      </c>
      <c r="G266" s="3">
        <v>224</v>
      </c>
      <c r="H266" s="3">
        <v>1</v>
      </c>
      <c r="I266" s="5">
        <f t="shared" si="24"/>
        <v>4.4444444444444444E-3</v>
      </c>
      <c r="J266" s="6">
        <f t="shared" si="29"/>
        <v>4444.4444444444443</v>
      </c>
      <c r="K266" s="7">
        <v>1.77</v>
      </c>
      <c r="L266" s="3">
        <v>392</v>
      </c>
      <c r="M266" s="3">
        <v>450</v>
      </c>
      <c r="N266" s="3">
        <v>58</v>
      </c>
      <c r="O266" s="5">
        <f t="shared" si="25"/>
        <v>0.87111111111111106</v>
      </c>
      <c r="P266" s="5">
        <f t="shared" si="26"/>
        <v>1.0159438775510203</v>
      </c>
      <c r="Q266" s="5">
        <f t="shared" si="27"/>
        <v>0.99555555555555553</v>
      </c>
      <c r="R266" s="5">
        <f t="shared" si="28"/>
        <v>0.88106666666666655</v>
      </c>
    </row>
    <row r="267" spans="1:18" x14ac:dyDescent="0.25">
      <c r="A267" s="3">
        <v>263</v>
      </c>
      <c r="B267" s="4">
        <v>46221</v>
      </c>
      <c r="C267" s="3" t="s">
        <v>28</v>
      </c>
      <c r="D267" s="3" t="s">
        <v>21</v>
      </c>
      <c r="E267" s="3" t="s">
        <v>32</v>
      </c>
      <c r="F267" s="3">
        <v>647</v>
      </c>
      <c r="G267" s="3">
        <v>642</v>
      </c>
      <c r="H267" s="3">
        <v>5</v>
      </c>
      <c r="I267" s="5">
        <f t="shared" si="24"/>
        <v>7.7279752704791345E-3</v>
      </c>
      <c r="J267" s="6">
        <f t="shared" si="29"/>
        <v>7727.9752704791345</v>
      </c>
      <c r="K267" s="7">
        <v>0.55000000000000004</v>
      </c>
      <c r="L267" s="3">
        <v>388</v>
      </c>
      <c r="M267" s="3">
        <v>450</v>
      </c>
      <c r="N267" s="3">
        <v>62</v>
      </c>
      <c r="O267" s="5">
        <f t="shared" si="25"/>
        <v>0.86222222222222222</v>
      </c>
      <c r="P267" s="5">
        <f t="shared" si="26"/>
        <v>0.91713917525773203</v>
      </c>
      <c r="Q267" s="5">
        <f t="shared" si="27"/>
        <v>0.99227202472952092</v>
      </c>
      <c r="R267" s="5">
        <f t="shared" si="28"/>
        <v>0.78466666666666673</v>
      </c>
    </row>
    <row r="268" spans="1:18" x14ac:dyDescent="0.25">
      <c r="A268" s="3">
        <v>264</v>
      </c>
      <c r="B268" s="4">
        <v>46221</v>
      </c>
      <c r="C268" s="3" t="s">
        <v>28</v>
      </c>
      <c r="D268" s="3" t="s">
        <v>23</v>
      </c>
      <c r="E268" s="3" t="s">
        <v>22</v>
      </c>
      <c r="F268" s="3">
        <v>252</v>
      </c>
      <c r="G268" s="3">
        <v>246</v>
      </c>
      <c r="H268" s="3">
        <v>6</v>
      </c>
      <c r="I268" s="5">
        <f t="shared" si="24"/>
        <v>2.3809523809523808E-2</v>
      </c>
      <c r="J268" s="6">
        <f t="shared" si="29"/>
        <v>23809.523809523809</v>
      </c>
      <c r="K268" s="7">
        <v>1.58</v>
      </c>
      <c r="L268" s="3">
        <v>427</v>
      </c>
      <c r="M268" s="3">
        <v>450</v>
      </c>
      <c r="N268" s="3">
        <v>23</v>
      </c>
      <c r="O268" s="5">
        <f t="shared" si="25"/>
        <v>0.94888888888888889</v>
      </c>
      <c r="P268" s="5">
        <f t="shared" si="26"/>
        <v>0.93245901639344264</v>
      </c>
      <c r="Q268" s="5">
        <f t="shared" si="27"/>
        <v>0.97619047619047616</v>
      </c>
      <c r="R268" s="5">
        <f t="shared" si="28"/>
        <v>0.86373333333333335</v>
      </c>
    </row>
    <row r="269" spans="1:18" x14ac:dyDescent="0.25">
      <c r="A269" s="3">
        <v>265</v>
      </c>
      <c r="B269" s="4">
        <v>46221</v>
      </c>
      <c r="C269" s="3" t="s">
        <v>30</v>
      </c>
      <c r="D269" s="3" t="s">
        <v>19</v>
      </c>
      <c r="E269" s="3" t="s">
        <v>32</v>
      </c>
      <c r="F269" s="3">
        <v>612</v>
      </c>
      <c r="G269" s="3">
        <v>588</v>
      </c>
      <c r="H269" s="3">
        <v>24</v>
      </c>
      <c r="I269" s="5">
        <f t="shared" si="24"/>
        <v>3.9215686274509803E-2</v>
      </c>
      <c r="J269" s="6">
        <f t="shared" si="29"/>
        <v>39215.686274509804</v>
      </c>
      <c r="K269" s="7">
        <v>0.59</v>
      </c>
      <c r="L269" s="3">
        <v>441</v>
      </c>
      <c r="M269" s="3">
        <v>450</v>
      </c>
      <c r="N269" s="3">
        <v>9</v>
      </c>
      <c r="O269" s="5">
        <f t="shared" si="25"/>
        <v>0.98</v>
      </c>
      <c r="P269" s="5">
        <f t="shared" si="26"/>
        <v>0.81877551020408157</v>
      </c>
      <c r="Q269" s="5">
        <f t="shared" si="27"/>
        <v>0.96078431372549022</v>
      </c>
      <c r="R269" s="5">
        <f t="shared" si="28"/>
        <v>0.77093333333333325</v>
      </c>
    </row>
    <row r="270" spans="1:18" x14ac:dyDescent="0.25">
      <c r="A270" s="3">
        <v>266</v>
      </c>
      <c r="B270" s="4">
        <v>46221</v>
      </c>
      <c r="C270" s="3" t="s">
        <v>30</v>
      </c>
      <c r="D270" s="3" t="s">
        <v>21</v>
      </c>
      <c r="E270" s="3" t="s">
        <v>24</v>
      </c>
      <c r="F270" s="3">
        <v>345</v>
      </c>
      <c r="G270" s="3">
        <v>340</v>
      </c>
      <c r="H270" s="3">
        <v>5</v>
      </c>
      <c r="I270" s="5">
        <f t="shared" si="24"/>
        <v>1.4492753623188406E-2</v>
      </c>
      <c r="J270" s="6">
        <f t="shared" si="29"/>
        <v>14492.753623188406</v>
      </c>
      <c r="K270" s="7">
        <v>1.2</v>
      </c>
      <c r="L270" s="3">
        <v>430</v>
      </c>
      <c r="M270" s="3">
        <v>450</v>
      </c>
      <c r="N270" s="3">
        <v>20</v>
      </c>
      <c r="O270" s="5">
        <f t="shared" si="25"/>
        <v>0.9555555555555556</v>
      </c>
      <c r="P270" s="5">
        <f t="shared" si="26"/>
        <v>0.96279069767441861</v>
      </c>
      <c r="Q270" s="5">
        <f t="shared" si="27"/>
        <v>0.98550724637681164</v>
      </c>
      <c r="R270" s="5">
        <f t="shared" si="28"/>
        <v>0.90666666666666673</v>
      </c>
    </row>
    <row r="271" spans="1:18" x14ac:dyDescent="0.25">
      <c r="A271" s="3">
        <v>267</v>
      </c>
      <c r="B271" s="4">
        <v>46221</v>
      </c>
      <c r="C271" s="3" t="s">
        <v>30</v>
      </c>
      <c r="D271" s="3" t="s">
        <v>23</v>
      </c>
      <c r="E271" s="3" t="s">
        <v>34</v>
      </c>
      <c r="F271" s="3">
        <v>430</v>
      </c>
      <c r="G271" s="3">
        <v>415</v>
      </c>
      <c r="H271" s="3">
        <v>15</v>
      </c>
      <c r="I271" s="5">
        <f t="shared" si="24"/>
        <v>3.4883720930232558E-2</v>
      </c>
      <c r="J271" s="6">
        <f t="shared" si="29"/>
        <v>34883.720930232557</v>
      </c>
      <c r="K271" s="7">
        <v>0.89</v>
      </c>
      <c r="L271" s="3">
        <v>395</v>
      </c>
      <c r="M271" s="3">
        <v>450</v>
      </c>
      <c r="N271" s="3">
        <v>55</v>
      </c>
      <c r="O271" s="5">
        <f t="shared" si="25"/>
        <v>0.87777777777777777</v>
      </c>
      <c r="P271" s="5">
        <f t="shared" si="26"/>
        <v>0.9688607594936709</v>
      </c>
      <c r="Q271" s="5">
        <f t="shared" si="27"/>
        <v>0.96511627906976749</v>
      </c>
      <c r="R271" s="5">
        <f t="shared" si="28"/>
        <v>0.82077777777777783</v>
      </c>
    </row>
    <row r="272" spans="1:18" x14ac:dyDescent="0.25">
      <c r="A272" s="3">
        <v>268</v>
      </c>
      <c r="B272" s="4">
        <v>46221</v>
      </c>
      <c r="C272" s="3" t="s">
        <v>33</v>
      </c>
      <c r="D272" s="3" t="s">
        <v>19</v>
      </c>
      <c r="E272" s="3" t="s">
        <v>24</v>
      </c>
      <c r="F272" s="3">
        <v>657</v>
      </c>
      <c r="G272" s="3">
        <v>652</v>
      </c>
      <c r="H272" s="3">
        <v>5</v>
      </c>
      <c r="I272" s="5">
        <f t="shared" si="24"/>
        <v>7.6103500761035003E-3</v>
      </c>
      <c r="J272" s="6">
        <f t="shared" si="29"/>
        <v>7610.3500761035002</v>
      </c>
      <c r="K272" s="7">
        <v>0.65</v>
      </c>
      <c r="L272" s="3">
        <v>421</v>
      </c>
      <c r="M272" s="3">
        <v>450</v>
      </c>
      <c r="N272" s="3">
        <v>29</v>
      </c>
      <c r="O272" s="5">
        <f t="shared" si="25"/>
        <v>0.93555555555555558</v>
      </c>
      <c r="P272" s="5">
        <f t="shared" si="26"/>
        <v>1.0143705463182897</v>
      </c>
      <c r="Q272" s="5">
        <f t="shared" si="27"/>
        <v>0.99238964992389644</v>
      </c>
      <c r="R272" s="5">
        <f t="shared" si="28"/>
        <v>0.94177777777777771</v>
      </c>
    </row>
    <row r="273" spans="1:18" x14ac:dyDescent="0.25">
      <c r="A273" s="3">
        <v>269</v>
      </c>
      <c r="B273" s="4">
        <v>46221</v>
      </c>
      <c r="C273" s="3" t="s">
        <v>33</v>
      </c>
      <c r="D273" s="3" t="s">
        <v>21</v>
      </c>
      <c r="E273" s="3" t="s">
        <v>32</v>
      </c>
      <c r="F273" s="3">
        <v>205</v>
      </c>
      <c r="G273" s="3">
        <v>197</v>
      </c>
      <c r="H273" s="3">
        <v>8</v>
      </c>
      <c r="I273" s="5">
        <f t="shared" si="24"/>
        <v>3.9024390243902439E-2</v>
      </c>
      <c r="J273" s="6">
        <f t="shared" si="29"/>
        <v>39024.390243902439</v>
      </c>
      <c r="K273" s="7">
        <v>1.65</v>
      </c>
      <c r="L273" s="3">
        <v>401</v>
      </c>
      <c r="M273" s="3">
        <v>450</v>
      </c>
      <c r="N273" s="3">
        <v>49</v>
      </c>
      <c r="O273" s="5">
        <f t="shared" si="25"/>
        <v>0.89111111111111108</v>
      </c>
      <c r="P273" s="5">
        <f t="shared" si="26"/>
        <v>0.84351620947630923</v>
      </c>
      <c r="Q273" s="5">
        <f t="shared" si="27"/>
        <v>0.96097560975609753</v>
      </c>
      <c r="R273" s="5">
        <f t="shared" si="28"/>
        <v>0.72233333333333327</v>
      </c>
    </row>
    <row r="274" spans="1:18" x14ac:dyDescent="0.25">
      <c r="A274" s="3">
        <v>270</v>
      </c>
      <c r="B274" s="4">
        <v>46221</v>
      </c>
      <c r="C274" s="3" t="s">
        <v>33</v>
      </c>
      <c r="D274" s="3" t="s">
        <v>23</v>
      </c>
      <c r="E274" s="3" t="s">
        <v>29</v>
      </c>
      <c r="F274" s="3">
        <v>635</v>
      </c>
      <c r="G274" s="3">
        <v>621</v>
      </c>
      <c r="H274" s="3">
        <v>14</v>
      </c>
      <c r="I274" s="5">
        <f t="shared" si="24"/>
        <v>2.2047244094488189E-2</v>
      </c>
      <c r="J274" s="6">
        <f t="shared" si="29"/>
        <v>22047.244094488189</v>
      </c>
      <c r="K274" s="7">
        <v>0.61</v>
      </c>
      <c r="L274" s="3">
        <v>439</v>
      </c>
      <c r="M274" s="3">
        <v>450</v>
      </c>
      <c r="N274" s="3">
        <v>11</v>
      </c>
      <c r="O274" s="5">
        <f t="shared" si="25"/>
        <v>0.97555555555555551</v>
      </c>
      <c r="P274" s="5">
        <f t="shared" si="26"/>
        <v>0.88234624145785867</v>
      </c>
      <c r="Q274" s="5">
        <f t="shared" si="27"/>
        <v>0.97795275590551178</v>
      </c>
      <c r="R274" s="5">
        <f t="shared" si="28"/>
        <v>0.84179999999999988</v>
      </c>
    </row>
    <row r="275" spans="1:18" x14ac:dyDescent="0.25">
      <c r="A275" s="3">
        <v>271</v>
      </c>
      <c r="B275" s="4">
        <v>46222</v>
      </c>
      <c r="C275" s="3" t="s">
        <v>18</v>
      </c>
      <c r="D275" s="3" t="s">
        <v>19</v>
      </c>
      <c r="E275" s="3" t="s">
        <v>34</v>
      </c>
      <c r="F275" s="3">
        <v>548</v>
      </c>
      <c r="G275" s="3">
        <v>526</v>
      </c>
      <c r="H275" s="3">
        <v>22</v>
      </c>
      <c r="I275" s="5">
        <f t="shared" si="24"/>
        <v>4.0145985401459854E-2</v>
      </c>
      <c r="J275" s="6">
        <f t="shared" si="29"/>
        <v>40145.985401459853</v>
      </c>
      <c r="K275" s="7">
        <v>0.71</v>
      </c>
      <c r="L275" s="3">
        <v>392</v>
      </c>
      <c r="M275" s="3">
        <v>450</v>
      </c>
      <c r="N275" s="3">
        <v>58</v>
      </c>
      <c r="O275" s="5">
        <f t="shared" si="25"/>
        <v>0.87111111111111106</v>
      </c>
      <c r="P275" s="5">
        <f t="shared" si="26"/>
        <v>0.99255102040816323</v>
      </c>
      <c r="Q275" s="5">
        <f t="shared" si="27"/>
        <v>0.95985401459854014</v>
      </c>
      <c r="R275" s="5">
        <f t="shared" si="28"/>
        <v>0.82991111111111104</v>
      </c>
    </row>
    <row r="276" spans="1:18" x14ac:dyDescent="0.25">
      <c r="A276" s="3">
        <v>272</v>
      </c>
      <c r="B276" s="4">
        <v>46222</v>
      </c>
      <c r="C276" s="3" t="s">
        <v>18</v>
      </c>
      <c r="D276" s="3" t="s">
        <v>21</v>
      </c>
      <c r="E276" s="3" t="s">
        <v>27</v>
      </c>
      <c r="F276" s="3">
        <v>436</v>
      </c>
      <c r="G276" s="3">
        <v>430</v>
      </c>
      <c r="H276" s="3">
        <v>6</v>
      </c>
      <c r="I276" s="5">
        <f t="shared" si="24"/>
        <v>1.3761467889908258E-2</v>
      </c>
      <c r="J276" s="6">
        <f t="shared" si="29"/>
        <v>13761.467889908257</v>
      </c>
      <c r="K276" s="7">
        <v>0.84</v>
      </c>
      <c r="L276" s="3">
        <v>402</v>
      </c>
      <c r="M276" s="3">
        <v>450</v>
      </c>
      <c r="N276" s="3">
        <v>48</v>
      </c>
      <c r="O276" s="5">
        <f t="shared" si="25"/>
        <v>0.89333333333333331</v>
      </c>
      <c r="P276" s="5">
        <f t="shared" si="26"/>
        <v>0.91104477611940304</v>
      </c>
      <c r="Q276" s="5">
        <f t="shared" si="27"/>
        <v>0.98623853211009171</v>
      </c>
      <c r="R276" s="5">
        <f t="shared" si="28"/>
        <v>0.80266666666666675</v>
      </c>
    </row>
    <row r="277" spans="1:18" x14ac:dyDescent="0.25">
      <c r="A277" s="3">
        <v>273</v>
      </c>
      <c r="B277" s="4">
        <v>46222</v>
      </c>
      <c r="C277" s="3" t="s">
        <v>18</v>
      </c>
      <c r="D277" s="3" t="s">
        <v>23</v>
      </c>
      <c r="E277" s="3" t="s">
        <v>26</v>
      </c>
      <c r="F277" s="3">
        <v>619</v>
      </c>
      <c r="G277" s="3">
        <v>594</v>
      </c>
      <c r="H277" s="3">
        <v>25</v>
      </c>
      <c r="I277" s="5">
        <f t="shared" si="24"/>
        <v>4.0387722132471729E-2</v>
      </c>
      <c r="J277" s="6">
        <f t="shared" si="29"/>
        <v>40387.722132471732</v>
      </c>
      <c r="K277" s="7">
        <v>0.7</v>
      </c>
      <c r="L277" s="3">
        <v>427</v>
      </c>
      <c r="M277" s="3">
        <v>450</v>
      </c>
      <c r="N277" s="3">
        <v>23</v>
      </c>
      <c r="O277" s="5">
        <f t="shared" si="25"/>
        <v>0.94888888888888889</v>
      </c>
      <c r="P277" s="5">
        <f t="shared" si="26"/>
        <v>1.0147540983606556</v>
      </c>
      <c r="Q277" s="5">
        <f t="shared" si="27"/>
        <v>0.95961227786752823</v>
      </c>
      <c r="R277" s="5">
        <f t="shared" si="28"/>
        <v>0.92399999999999971</v>
      </c>
    </row>
    <row r="278" spans="1:18" x14ac:dyDescent="0.25">
      <c r="A278" s="3">
        <v>274</v>
      </c>
      <c r="B278" s="4">
        <v>46222</v>
      </c>
      <c r="C278" s="3" t="s">
        <v>25</v>
      </c>
      <c r="D278" s="3" t="s">
        <v>19</v>
      </c>
      <c r="E278" s="3" t="s">
        <v>24</v>
      </c>
      <c r="F278" s="3">
        <v>267</v>
      </c>
      <c r="G278" s="3">
        <v>261</v>
      </c>
      <c r="H278" s="3">
        <v>6</v>
      </c>
      <c r="I278" s="5">
        <f t="shared" si="24"/>
        <v>2.247191011235955E-2</v>
      </c>
      <c r="J278" s="6">
        <f t="shared" si="29"/>
        <v>22471.91011235955</v>
      </c>
      <c r="K278" s="7">
        <v>1.48</v>
      </c>
      <c r="L278" s="3">
        <v>436</v>
      </c>
      <c r="M278" s="3">
        <v>450</v>
      </c>
      <c r="N278" s="3">
        <v>14</v>
      </c>
      <c r="O278" s="5">
        <f t="shared" si="25"/>
        <v>0.96888888888888891</v>
      </c>
      <c r="P278" s="5">
        <f t="shared" si="26"/>
        <v>0.90633027522935772</v>
      </c>
      <c r="Q278" s="5">
        <f t="shared" si="27"/>
        <v>0.97752808988764039</v>
      </c>
      <c r="R278" s="5">
        <f t="shared" si="28"/>
        <v>0.85839999999999994</v>
      </c>
    </row>
    <row r="279" spans="1:18" x14ac:dyDescent="0.25">
      <c r="A279" s="3">
        <v>275</v>
      </c>
      <c r="B279" s="4">
        <v>46222</v>
      </c>
      <c r="C279" s="3" t="s">
        <v>25</v>
      </c>
      <c r="D279" s="3" t="s">
        <v>21</v>
      </c>
      <c r="E279" s="3" t="s">
        <v>26</v>
      </c>
      <c r="F279" s="3">
        <v>334</v>
      </c>
      <c r="G279" s="3">
        <v>331</v>
      </c>
      <c r="H279" s="3">
        <v>3</v>
      </c>
      <c r="I279" s="5">
        <f t="shared" si="24"/>
        <v>8.9820359281437123E-3</v>
      </c>
      <c r="J279" s="6">
        <f t="shared" si="29"/>
        <v>8982.0359281437122</v>
      </c>
      <c r="K279" s="7">
        <v>1.1200000000000001</v>
      </c>
      <c r="L279" s="3">
        <v>422</v>
      </c>
      <c r="M279" s="3">
        <v>450</v>
      </c>
      <c r="N279" s="3">
        <v>28</v>
      </c>
      <c r="O279" s="5">
        <f t="shared" si="25"/>
        <v>0.93777777777777782</v>
      </c>
      <c r="P279" s="5">
        <f t="shared" si="26"/>
        <v>0.88644549763033187</v>
      </c>
      <c r="Q279" s="5">
        <f t="shared" si="27"/>
        <v>0.99101796407185627</v>
      </c>
      <c r="R279" s="5">
        <f t="shared" si="28"/>
        <v>0.82382222222222234</v>
      </c>
    </row>
    <row r="280" spans="1:18" x14ac:dyDescent="0.25">
      <c r="A280" s="3">
        <v>276</v>
      </c>
      <c r="B280" s="4">
        <v>46222</v>
      </c>
      <c r="C280" s="3" t="s">
        <v>25</v>
      </c>
      <c r="D280" s="3" t="s">
        <v>23</v>
      </c>
      <c r="E280" s="3" t="s">
        <v>22</v>
      </c>
      <c r="F280" s="3">
        <v>793</v>
      </c>
      <c r="G280" s="3">
        <v>775</v>
      </c>
      <c r="H280" s="3">
        <v>18</v>
      </c>
      <c r="I280" s="5">
        <f t="shared" si="24"/>
        <v>2.269861286254729E-2</v>
      </c>
      <c r="J280" s="6">
        <f t="shared" si="29"/>
        <v>22698.612862547292</v>
      </c>
      <c r="K280" s="7">
        <v>0.53</v>
      </c>
      <c r="L280" s="3">
        <v>413</v>
      </c>
      <c r="M280" s="3">
        <v>450</v>
      </c>
      <c r="N280" s="3">
        <v>37</v>
      </c>
      <c r="O280" s="5">
        <f t="shared" si="25"/>
        <v>0.9177777777777778</v>
      </c>
      <c r="P280" s="5">
        <f t="shared" si="26"/>
        <v>1.0176513317191285</v>
      </c>
      <c r="Q280" s="5">
        <f t="shared" si="27"/>
        <v>0.97730138713745274</v>
      </c>
      <c r="R280" s="5">
        <f t="shared" si="28"/>
        <v>0.91277777777777791</v>
      </c>
    </row>
    <row r="281" spans="1:18" x14ac:dyDescent="0.25">
      <c r="A281" s="3">
        <v>277</v>
      </c>
      <c r="B281" s="4">
        <v>46222</v>
      </c>
      <c r="C281" s="3" t="s">
        <v>28</v>
      </c>
      <c r="D281" s="3" t="s">
        <v>19</v>
      </c>
      <c r="E281" s="3" t="s">
        <v>31</v>
      </c>
      <c r="F281" s="3">
        <v>232</v>
      </c>
      <c r="G281" s="3">
        <v>229</v>
      </c>
      <c r="H281" s="3">
        <v>3</v>
      </c>
      <c r="I281" s="5">
        <f t="shared" si="24"/>
        <v>1.2931034482758621E-2</v>
      </c>
      <c r="J281" s="6">
        <f t="shared" si="29"/>
        <v>12931.034482758621</v>
      </c>
      <c r="K281" s="7">
        <v>1.73</v>
      </c>
      <c r="L281" s="3">
        <v>437</v>
      </c>
      <c r="M281" s="3">
        <v>450</v>
      </c>
      <c r="N281" s="3">
        <v>13</v>
      </c>
      <c r="O281" s="5">
        <f t="shared" si="25"/>
        <v>0.97111111111111115</v>
      </c>
      <c r="P281" s="5">
        <f t="shared" si="26"/>
        <v>0.91844393592677354</v>
      </c>
      <c r="Q281" s="5">
        <f t="shared" si="27"/>
        <v>0.98706896551724133</v>
      </c>
      <c r="R281" s="5">
        <f t="shared" si="28"/>
        <v>0.88037777777777781</v>
      </c>
    </row>
    <row r="282" spans="1:18" x14ac:dyDescent="0.25">
      <c r="A282" s="3">
        <v>278</v>
      </c>
      <c r="B282" s="4">
        <v>46222</v>
      </c>
      <c r="C282" s="3" t="s">
        <v>28</v>
      </c>
      <c r="D282" s="3" t="s">
        <v>21</v>
      </c>
      <c r="E282" s="3" t="s">
        <v>29</v>
      </c>
      <c r="F282" s="3">
        <v>476</v>
      </c>
      <c r="G282" s="3">
        <v>472</v>
      </c>
      <c r="H282" s="3">
        <v>4</v>
      </c>
      <c r="I282" s="5">
        <f t="shared" si="24"/>
        <v>8.4033613445378148E-3</v>
      </c>
      <c r="J282" s="6">
        <f t="shared" si="29"/>
        <v>8403.3613445378141</v>
      </c>
      <c r="K282" s="7">
        <v>0.72</v>
      </c>
      <c r="L282" s="3">
        <v>436</v>
      </c>
      <c r="M282" s="3">
        <v>450</v>
      </c>
      <c r="N282" s="3">
        <v>14</v>
      </c>
      <c r="O282" s="5">
        <f t="shared" si="25"/>
        <v>0.96888888888888891</v>
      </c>
      <c r="P282" s="5">
        <f t="shared" si="26"/>
        <v>0.78605504587155961</v>
      </c>
      <c r="Q282" s="5">
        <f t="shared" si="27"/>
        <v>0.99159663865546221</v>
      </c>
      <c r="R282" s="5">
        <f t="shared" si="28"/>
        <v>0.75519999999999998</v>
      </c>
    </row>
    <row r="283" spans="1:18" x14ac:dyDescent="0.25">
      <c r="A283" s="3">
        <v>279</v>
      </c>
      <c r="B283" s="4">
        <v>46222</v>
      </c>
      <c r="C283" s="3" t="s">
        <v>28</v>
      </c>
      <c r="D283" s="3" t="s">
        <v>23</v>
      </c>
      <c r="E283" s="3" t="s">
        <v>22</v>
      </c>
      <c r="F283" s="3">
        <v>246</v>
      </c>
      <c r="G283" s="3">
        <v>240</v>
      </c>
      <c r="H283" s="3">
        <v>6</v>
      </c>
      <c r="I283" s="5">
        <f t="shared" si="24"/>
        <v>2.4390243902439025E-2</v>
      </c>
      <c r="J283" s="6">
        <f t="shared" si="29"/>
        <v>24390.243902439026</v>
      </c>
      <c r="K283" s="7">
        <v>1.68</v>
      </c>
      <c r="L283" s="3">
        <v>445</v>
      </c>
      <c r="M283" s="3">
        <v>450</v>
      </c>
      <c r="N283" s="3">
        <v>5</v>
      </c>
      <c r="O283" s="5">
        <f t="shared" si="25"/>
        <v>0.98888888888888893</v>
      </c>
      <c r="P283" s="5">
        <f t="shared" si="26"/>
        <v>0.92871910112359546</v>
      </c>
      <c r="Q283" s="5">
        <f t="shared" si="27"/>
        <v>0.97560975609756095</v>
      </c>
      <c r="R283" s="5">
        <f t="shared" si="28"/>
        <v>0.89600000000000002</v>
      </c>
    </row>
    <row r="284" spans="1:18" x14ac:dyDescent="0.25">
      <c r="A284" s="3">
        <v>280</v>
      </c>
      <c r="B284" s="4">
        <v>46222</v>
      </c>
      <c r="C284" s="3" t="s">
        <v>30</v>
      </c>
      <c r="D284" s="3" t="s">
        <v>19</v>
      </c>
      <c r="E284" s="3" t="s">
        <v>35</v>
      </c>
      <c r="F284" s="3">
        <v>418</v>
      </c>
      <c r="G284" s="3">
        <v>413</v>
      </c>
      <c r="H284" s="3">
        <v>5</v>
      </c>
      <c r="I284" s="5">
        <f t="shared" si="24"/>
        <v>1.1961722488038277E-2</v>
      </c>
      <c r="J284" s="6">
        <f t="shared" si="29"/>
        <v>11961.722488038278</v>
      </c>
      <c r="K284" s="7">
        <v>0.93</v>
      </c>
      <c r="L284" s="3">
        <v>426</v>
      </c>
      <c r="M284" s="3">
        <v>450</v>
      </c>
      <c r="N284" s="3">
        <v>24</v>
      </c>
      <c r="O284" s="5">
        <f t="shared" si="25"/>
        <v>0.94666666666666666</v>
      </c>
      <c r="P284" s="5">
        <f t="shared" si="26"/>
        <v>0.91253521126760562</v>
      </c>
      <c r="Q284" s="5">
        <f t="shared" si="27"/>
        <v>0.98803827751196172</v>
      </c>
      <c r="R284" s="5">
        <f t="shared" si="28"/>
        <v>0.85353333333333337</v>
      </c>
    </row>
    <row r="285" spans="1:18" x14ac:dyDescent="0.25">
      <c r="A285" s="3">
        <v>281</v>
      </c>
      <c r="B285" s="4">
        <v>46222</v>
      </c>
      <c r="C285" s="3" t="s">
        <v>30</v>
      </c>
      <c r="D285" s="3" t="s">
        <v>21</v>
      </c>
      <c r="E285" s="3" t="s">
        <v>22</v>
      </c>
      <c r="F285" s="3">
        <v>237</v>
      </c>
      <c r="G285" s="3">
        <v>232</v>
      </c>
      <c r="H285" s="3">
        <v>5</v>
      </c>
      <c r="I285" s="5">
        <f t="shared" si="24"/>
        <v>2.1097046413502109E-2</v>
      </c>
      <c r="J285" s="6">
        <f t="shared" si="29"/>
        <v>21097.04641350211</v>
      </c>
      <c r="K285" s="7">
        <v>1.78</v>
      </c>
      <c r="L285" s="3">
        <v>437</v>
      </c>
      <c r="M285" s="3">
        <v>450</v>
      </c>
      <c r="N285" s="3">
        <v>13</v>
      </c>
      <c r="O285" s="5">
        <f t="shared" si="25"/>
        <v>0.97111111111111115</v>
      </c>
      <c r="P285" s="5">
        <f t="shared" si="26"/>
        <v>0.96535469107551486</v>
      </c>
      <c r="Q285" s="5">
        <f t="shared" si="27"/>
        <v>0.97890295358649793</v>
      </c>
      <c r="R285" s="5">
        <f t="shared" si="28"/>
        <v>0.91768888888888889</v>
      </c>
    </row>
    <row r="286" spans="1:18" x14ac:dyDescent="0.25">
      <c r="A286" s="3">
        <v>282</v>
      </c>
      <c r="B286" s="4">
        <v>46222</v>
      </c>
      <c r="C286" s="3" t="s">
        <v>30</v>
      </c>
      <c r="D286" s="3" t="s">
        <v>23</v>
      </c>
      <c r="E286" s="3" t="s">
        <v>22</v>
      </c>
      <c r="F286" s="3">
        <v>701</v>
      </c>
      <c r="G286" s="3">
        <v>689</v>
      </c>
      <c r="H286" s="3">
        <v>12</v>
      </c>
      <c r="I286" s="5">
        <f t="shared" si="24"/>
        <v>1.7118402282453638E-2</v>
      </c>
      <c r="J286" s="6">
        <f t="shared" si="29"/>
        <v>17118.402282453637</v>
      </c>
      <c r="K286" s="7">
        <v>0.56999999999999995</v>
      </c>
      <c r="L286" s="3">
        <v>396</v>
      </c>
      <c r="M286" s="3">
        <v>450</v>
      </c>
      <c r="N286" s="3">
        <v>54</v>
      </c>
      <c r="O286" s="5">
        <f t="shared" si="25"/>
        <v>0.88</v>
      </c>
      <c r="P286" s="5">
        <f t="shared" si="26"/>
        <v>1.0090151515151515</v>
      </c>
      <c r="Q286" s="5">
        <f t="shared" si="27"/>
        <v>0.98288159771754635</v>
      </c>
      <c r="R286" s="5">
        <f t="shared" si="28"/>
        <v>0.87273333333333336</v>
      </c>
    </row>
    <row r="287" spans="1:18" x14ac:dyDescent="0.25">
      <c r="A287" s="3">
        <v>283</v>
      </c>
      <c r="B287" s="4">
        <v>46222</v>
      </c>
      <c r="C287" s="3" t="s">
        <v>33</v>
      </c>
      <c r="D287" s="3" t="s">
        <v>19</v>
      </c>
      <c r="E287" s="3" t="s">
        <v>31</v>
      </c>
      <c r="F287" s="3">
        <v>906</v>
      </c>
      <c r="G287" s="3">
        <v>880</v>
      </c>
      <c r="H287" s="3">
        <v>26</v>
      </c>
      <c r="I287" s="5">
        <f t="shared" si="24"/>
        <v>2.8697571743929361E-2</v>
      </c>
      <c r="J287" s="6">
        <f t="shared" si="29"/>
        <v>28697.571743929362</v>
      </c>
      <c r="K287" s="7">
        <v>0.42</v>
      </c>
      <c r="L287" s="3">
        <v>389</v>
      </c>
      <c r="M287" s="3">
        <v>450</v>
      </c>
      <c r="N287" s="3">
        <v>61</v>
      </c>
      <c r="O287" s="5">
        <f t="shared" si="25"/>
        <v>0.86444444444444446</v>
      </c>
      <c r="P287" s="5">
        <f t="shared" si="26"/>
        <v>0.97820051413881748</v>
      </c>
      <c r="Q287" s="5">
        <f t="shared" si="27"/>
        <v>0.9713024282560706</v>
      </c>
      <c r="R287" s="5">
        <f t="shared" si="28"/>
        <v>0.82133333333333336</v>
      </c>
    </row>
    <row r="288" spans="1:18" x14ac:dyDescent="0.25">
      <c r="A288" s="3">
        <v>284</v>
      </c>
      <c r="B288" s="4">
        <v>46222</v>
      </c>
      <c r="C288" s="3" t="s">
        <v>33</v>
      </c>
      <c r="D288" s="3" t="s">
        <v>21</v>
      </c>
      <c r="E288" s="3" t="s">
        <v>34</v>
      </c>
      <c r="F288" s="3">
        <v>288</v>
      </c>
      <c r="G288" s="3">
        <v>285</v>
      </c>
      <c r="H288" s="3">
        <v>3</v>
      </c>
      <c r="I288" s="5">
        <f t="shared" si="24"/>
        <v>1.0416666666666666E-2</v>
      </c>
      <c r="J288" s="6">
        <f t="shared" si="29"/>
        <v>10416.666666666666</v>
      </c>
      <c r="K288" s="7">
        <v>1.44</v>
      </c>
      <c r="L288" s="3">
        <v>425</v>
      </c>
      <c r="M288" s="3">
        <v>450</v>
      </c>
      <c r="N288" s="3">
        <v>25</v>
      </c>
      <c r="O288" s="5">
        <f t="shared" si="25"/>
        <v>0.94444444444444442</v>
      </c>
      <c r="P288" s="5">
        <f t="shared" si="26"/>
        <v>0.97581176470588227</v>
      </c>
      <c r="Q288" s="5">
        <f t="shared" si="27"/>
        <v>0.98958333333333337</v>
      </c>
      <c r="R288" s="5">
        <f t="shared" si="28"/>
        <v>0.91199999999999992</v>
      </c>
    </row>
    <row r="289" spans="1:18" x14ac:dyDescent="0.25">
      <c r="A289" s="3">
        <v>285</v>
      </c>
      <c r="B289" s="4">
        <v>46222</v>
      </c>
      <c r="C289" s="3" t="s">
        <v>33</v>
      </c>
      <c r="D289" s="3" t="s">
        <v>23</v>
      </c>
      <c r="E289" s="3" t="s">
        <v>29</v>
      </c>
      <c r="F289" s="3">
        <v>229</v>
      </c>
      <c r="G289" s="3">
        <v>228</v>
      </c>
      <c r="H289" s="3">
        <v>1</v>
      </c>
      <c r="I289" s="5">
        <f t="shared" si="24"/>
        <v>4.3668122270742356E-3</v>
      </c>
      <c r="J289" s="6">
        <f t="shared" si="29"/>
        <v>4366.812227074236</v>
      </c>
      <c r="K289" s="7">
        <v>1.69</v>
      </c>
      <c r="L289" s="3">
        <v>413</v>
      </c>
      <c r="M289" s="3">
        <v>450</v>
      </c>
      <c r="N289" s="3">
        <v>37</v>
      </c>
      <c r="O289" s="5">
        <f t="shared" si="25"/>
        <v>0.9177777777777778</v>
      </c>
      <c r="P289" s="5">
        <f t="shared" si="26"/>
        <v>0.93707021791767553</v>
      </c>
      <c r="Q289" s="5">
        <f t="shared" si="27"/>
        <v>0.99563318777292575</v>
      </c>
      <c r="R289" s="5">
        <f t="shared" si="28"/>
        <v>0.85626666666666673</v>
      </c>
    </row>
    <row r="290" spans="1:18" x14ac:dyDescent="0.25">
      <c r="A290" s="3">
        <v>286</v>
      </c>
      <c r="B290" s="4">
        <v>46223</v>
      </c>
      <c r="C290" s="3" t="s">
        <v>18</v>
      </c>
      <c r="D290" s="3" t="s">
        <v>19</v>
      </c>
      <c r="E290" s="3" t="s">
        <v>29</v>
      </c>
      <c r="F290" s="3">
        <v>199</v>
      </c>
      <c r="G290" s="3">
        <v>198</v>
      </c>
      <c r="H290" s="3">
        <v>1</v>
      </c>
      <c r="I290" s="5">
        <f t="shared" si="24"/>
        <v>5.0251256281407036E-3</v>
      </c>
      <c r="J290" s="6">
        <f t="shared" si="29"/>
        <v>5025.1256281407032</v>
      </c>
      <c r="K290" s="7">
        <v>1.79</v>
      </c>
      <c r="L290" s="3">
        <v>419</v>
      </c>
      <c r="M290" s="3">
        <v>450</v>
      </c>
      <c r="N290" s="3">
        <v>31</v>
      </c>
      <c r="O290" s="5">
        <f t="shared" si="25"/>
        <v>0.93111111111111111</v>
      </c>
      <c r="P290" s="5">
        <f t="shared" si="26"/>
        <v>0.85014319809069205</v>
      </c>
      <c r="Q290" s="5">
        <f t="shared" si="27"/>
        <v>0.99497487437185927</v>
      </c>
      <c r="R290" s="5">
        <f t="shared" si="28"/>
        <v>0.78759999999999997</v>
      </c>
    </row>
    <row r="291" spans="1:18" x14ac:dyDescent="0.25">
      <c r="A291" s="3">
        <v>287</v>
      </c>
      <c r="B291" s="4">
        <v>46223</v>
      </c>
      <c r="C291" s="3" t="s">
        <v>18</v>
      </c>
      <c r="D291" s="3" t="s">
        <v>21</v>
      </c>
      <c r="E291" s="3" t="s">
        <v>27</v>
      </c>
      <c r="F291" s="3">
        <v>321</v>
      </c>
      <c r="G291" s="3">
        <v>312</v>
      </c>
      <c r="H291" s="3">
        <v>9</v>
      </c>
      <c r="I291" s="5">
        <f t="shared" si="24"/>
        <v>2.8037383177570093E-2</v>
      </c>
      <c r="J291" s="6">
        <f t="shared" si="29"/>
        <v>28037.383177570093</v>
      </c>
      <c r="K291" s="7">
        <v>1.01</v>
      </c>
      <c r="L291" s="3">
        <v>397</v>
      </c>
      <c r="M291" s="3">
        <v>450</v>
      </c>
      <c r="N291" s="3">
        <v>53</v>
      </c>
      <c r="O291" s="5">
        <f t="shared" si="25"/>
        <v>0.88222222222222224</v>
      </c>
      <c r="P291" s="5">
        <f t="shared" si="26"/>
        <v>0.81664987405541556</v>
      </c>
      <c r="Q291" s="5">
        <f t="shared" si="27"/>
        <v>0.9719626168224299</v>
      </c>
      <c r="R291" s="5">
        <f t="shared" si="28"/>
        <v>0.70026666666666659</v>
      </c>
    </row>
    <row r="292" spans="1:18" x14ac:dyDescent="0.25">
      <c r="A292" s="3">
        <v>288</v>
      </c>
      <c r="B292" s="4">
        <v>46223</v>
      </c>
      <c r="C292" s="3" t="s">
        <v>18</v>
      </c>
      <c r="D292" s="3" t="s">
        <v>23</v>
      </c>
      <c r="E292" s="3" t="s">
        <v>22</v>
      </c>
      <c r="F292" s="3">
        <v>481</v>
      </c>
      <c r="G292" s="3">
        <v>473</v>
      </c>
      <c r="H292" s="3">
        <v>8</v>
      </c>
      <c r="I292" s="5">
        <f t="shared" si="24"/>
        <v>1.6632016632016633E-2</v>
      </c>
      <c r="J292" s="6">
        <f t="shared" si="29"/>
        <v>16632.016632016632</v>
      </c>
      <c r="K292" s="7">
        <v>0.92</v>
      </c>
      <c r="L292" s="3">
        <v>438</v>
      </c>
      <c r="M292" s="3">
        <v>450</v>
      </c>
      <c r="N292" s="3">
        <v>12</v>
      </c>
      <c r="O292" s="5">
        <f t="shared" si="25"/>
        <v>0.97333333333333338</v>
      </c>
      <c r="P292" s="5">
        <f t="shared" si="26"/>
        <v>1.0103196347031964</v>
      </c>
      <c r="Q292" s="5">
        <f t="shared" si="27"/>
        <v>0.98336798336798337</v>
      </c>
      <c r="R292" s="5">
        <f t="shared" si="28"/>
        <v>0.96702222222222234</v>
      </c>
    </row>
    <row r="293" spans="1:18" x14ac:dyDescent="0.25">
      <c r="A293" s="3">
        <v>289</v>
      </c>
      <c r="B293" s="4">
        <v>46223</v>
      </c>
      <c r="C293" s="3" t="s">
        <v>25</v>
      </c>
      <c r="D293" s="3" t="s">
        <v>19</v>
      </c>
      <c r="E293" s="3" t="s">
        <v>29</v>
      </c>
      <c r="F293" s="3">
        <v>271</v>
      </c>
      <c r="G293" s="3">
        <v>263</v>
      </c>
      <c r="H293" s="3">
        <v>8</v>
      </c>
      <c r="I293" s="5">
        <f t="shared" si="24"/>
        <v>2.9520295202952029E-2</v>
      </c>
      <c r="J293" s="6">
        <f t="shared" si="29"/>
        <v>29520.295202952027</v>
      </c>
      <c r="K293" s="7">
        <v>1.4</v>
      </c>
      <c r="L293" s="3">
        <v>402</v>
      </c>
      <c r="M293" s="3">
        <v>450</v>
      </c>
      <c r="N293" s="3">
        <v>48</v>
      </c>
      <c r="O293" s="5">
        <f t="shared" si="25"/>
        <v>0.89333333333333331</v>
      </c>
      <c r="P293" s="5">
        <f t="shared" si="26"/>
        <v>0.94378109452736314</v>
      </c>
      <c r="Q293" s="5">
        <f t="shared" si="27"/>
        <v>0.97047970479704793</v>
      </c>
      <c r="R293" s="5">
        <f t="shared" si="28"/>
        <v>0.81822222222222207</v>
      </c>
    </row>
    <row r="294" spans="1:18" x14ac:dyDescent="0.25">
      <c r="A294" s="3">
        <v>290</v>
      </c>
      <c r="B294" s="4">
        <v>46223</v>
      </c>
      <c r="C294" s="3" t="s">
        <v>25</v>
      </c>
      <c r="D294" s="3" t="s">
        <v>21</v>
      </c>
      <c r="E294" s="3" t="s">
        <v>20</v>
      </c>
      <c r="F294" s="3">
        <v>407</v>
      </c>
      <c r="G294" s="3">
        <v>400</v>
      </c>
      <c r="H294" s="3">
        <v>7</v>
      </c>
      <c r="I294" s="5">
        <f t="shared" si="24"/>
        <v>1.7199017199017199E-2</v>
      </c>
      <c r="J294" s="6">
        <f t="shared" si="29"/>
        <v>17199.017199017198</v>
      </c>
      <c r="K294" s="7">
        <v>1.04</v>
      </c>
      <c r="L294" s="3">
        <v>417</v>
      </c>
      <c r="M294" s="3">
        <v>450</v>
      </c>
      <c r="N294" s="3">
        <v>33</v>
      </c>
      <c r="O294" s="5">
        <f t="shared" si="25"/>
        <v>0.92666666666666664</v>
      </c>
      <c r="P294" s="5">
        <f t="shared" si="26"/>
        <v>1.0150599520383694</v>
      </c>
      <c r="Q294" s="5">
        <f t="shared" si="27"/>
        <v>0.98280098280098283</v>
      </c>
      <c r="R294" s="5">
        <f t="shared" si="28"/>
        <v>0.92444444444444451</v>
      </c>
    </row>
    <row r="295" spans="1:18" x14ac:dyDescent="0.25">
      <c r="A295" s="3">
        <v>291</v>
      </c>
      <c r="B295" s="4">
        <v>46223</v>
      </c>
      <c r="C295" s="3" t="s">
        <v>25</v>
      </c>
      <c r="D295" s="3" t="s">
        <v>23</v>
      </c>
      <c r="E295" s="3" t="s">
        <v>27</v>
      </c>
      <c r="F295" s="3">
        <v>715</v>
      </c>
      <c r="G295" s="3">
        <v>712</v>
      </c>
      <c r="H295" s="3">
        <v>3</v>
      </c>
      <c r="I295" s="5">
        <f t="shared" si="24"/>
        <v>4.1958041958041958E-3</v>
      </c>
      <c r="J295" s="6">
        <f t="shared" si="29"/>
        <v>4195.8041958041958</v>
      </c>
      <c r="K295" s="7">
        <v>0.61</v>
      </c>
      <c r="L295" s="3">
        <v>440</v>
      </c>
      <c r="M295" s="3">
        <v>450</v>
      </c>
      <c r="N295" s="3">
        <v>10</v>
      </c>
      <c r="O295" s="5">
        <f t="shared" si="25"/>
        <v>0.97777777777777775</v>
      </c>
      <c r="P295" s="5">
        <f t="shared" si="26"/>
        <v>0.99124999999999996</v>
      </c>
      <c r="Q295" s="5">
        <f t="shared" si="27"/>
        <v>0.99580419580419577</v>
      </c>
      <c r="R295" s="5">
        <f t="shared" si="28"/>
        <v>0.96515555555555554</v>
      </c>
    </row>
    <row r="296" spans="1:18" x14ac:dyDescent="0.25">
      <c r="A296" s="3">
        <v>292</v>
      </c>
      <c r="B296" s="4">
        <v>46223</v>
      </c>
      <c r="C296" s="3" t="s">
        <v>28</v>
      </c>
      <c r="D296" s="3" t="s">
        <v>19</v>
      </c>
      <c r="E296" s="3" t="s">
        <v>20</v>
      </c>
      <c r="F296" s="3">
        <v>405</v>
      </c>
      <c r="G296" s="3">
        <v>391</v>
      </c>
      <c r="H296" s="3">
        <v>14</v>
      </c>
      <c r="I296" s="5">
        <f t="shared" si="24"/>
        <v>3.4567901234567898E-2</v>
      </c>
      <c r="J296" s="6">
        <f t="shared" si="29"/>
        <v>34567.9012345679</v>
      </c>
      <c r="K296" s="7">
        <v>1</v>
      </c>
      <c r="L296" s="3">
        <v>404</v>
      </c>
      <c r="M296" s="3">
        <v>450</v>
      </c>
      <c r="N296" s="3">
        <v>46</v>
      </c>
      <c r="O296" s="5">
        <f t="shared" si="25"/>
        <v>0.89777777777777779</v>
      </c>
      <c r="P296" s="5">
        <f t="shared" si="26"/>
        <v>1.0024752475247525</v>
      </c>
      <c r="Q296" s="5">
        <f t="shared" si="27"/>
        <v>0.96543209876543212</v>
      </c>
      <c r="R296" s="5">
        <f t="shared" si="28"/>
        <v>0.86888888888888893</v>
      </c>
    </row>
    <row r="297" spans="1:18" x14ac:dyDescent="0.25">
      <c r="A297" s="3">
        <v>293</v>
      </c>
      <c r="B297" s="4">
        <v>46223</v>
      </c>
      <c r="C297" s="3" t="s">
        <v>28</v>
      </c>
      <c r="D297" s="3" t="s">
        <v>21</v>
      </c>
      <c r="E297" s="3" t="s">
        <v>31</v>
      </c>
      <c r="F297" s="3">
        <v>220</v>
      </c>
      <c r="G297" s="3">
        <v>217</v>
      </c>
      <c r="H297" s="3">
        <v>3</v>
      </c>
      <c r="I297" s="5">
        <f t="shared" si="24"/>
        <v>1.3636363636363636E-2</v>
      </c>
      <c r="J297" s="6">
        <f t="shared" si="29"/>
        <v>13636.363636363636</v>
      </c>
      <c r="K297" s="7">
        <v>1.79</v>
      </c>
      <c r="L297" s="3">
        <v>418</v>
      </c>
      <c r="M297" s="3">
        <v>450</v>
      </c>
      <c r="N297" s="3">
        <v>32</v>
      </c>
      <c r="O297" s="5">
        <f t="shared" si="25"/>
        <v>0.92888888888888888</v>
      </c>
      <c r="P297" s="5">
        <f t="shared" si="26"/>
        <v>0.94210526315789478</v>
      </c>
      <c r="Q297" s="5">
        <f t="shared" si="27"/>
        <v>0.98636363636363633</v>
      </c>
      <c r="R297" s="5">
        <f t="shared" si="28"/>
        <v>0.86317777777777782</v>
      </c>
    </row>
    <row r="298" spans="1:18" x14ac:dyDescent="0.25">
      <c r="A298" s="3">
        <v>294</v>
      </c>
      <c r="B298" s="4">
        <v>46223</v>
      </c>
      <c r="C298" s="3" t="s">
        <v>28</v>
      </c>
      <c r="D298" s="3" t="s">
        <v>23</v>
      </c>
      <c r="E298" s="3" t="s">
        <v>20</v>
      </c>
      <c r="F298" s="3">
        <v>209</v>
      </c>
      <c r="G298" s="3">
        <v>202</v>
      </c>
      <c r="H298" s="3">
        <v>7</v>
      </c>
      <c r="I298" s="5">
        <f t="shared" si="24"/>
        <v>3.3492822966507178E-2</v>
      </c>
      <c r="J298" s="6">
        <f t="shared" si="29"/>
        <v>33492.822966507178</v>
      </c>
      <c r="K298" s="7">
        <v>1.72</v>
      </c>
      <c r="L298" s="3">
        <v>413</v>
      </c>
      <c r="M298" s="3">
        <v>450</v>
      </c>
      <c r="N298" s="3">
        <v>37</v>
      </c>
      <c r="O298" s="5">
        <f t="shared" si="25"/>
        <v>0.9177777777777778</v>
      </c>
      <c r="P298" s="5">
        <f t="shared" si="26"/>
        <v>0.87041162227602908</v>
      </c>
      <c r="Q298" s="5">
        <f t="shared" si="27"/>
        <v>0.96650717703349287</v>
      </c>
      <c r="R298" s="5">
        <f t="shared" si="28"/>
        <v>0.77208888888888894</v>
      </c>
    </row>
    <row r="299" spans="1:18" x14ac:dyDescent="0.25">
      <c r="A299" s="3">
        <v>295</v>
      </c>
      <c r="B299" s="4">
        <v>46223</v>
      </c>
      <c r="C299" s="3" t="s">
        <v>30</v>
      </c>
      <c r="D299" s="3" t="s">
        <v>19</v>
      </c>
      <c r="E299" s="3" t="s">
        <v>26</v>
      </c>
      <c r="F299" s="3">
        <v>403</v>
      </c>
      <c r="G299" s="3">
        <v>393</v>
      </c>
      <c r="H299" s="3">
        <v>10</v>
      </c>
      <c r="I299" s="5">
        <f t="shared" si="24"/>
        <v>2.4813895781637719E-2</v>
      </c>
      <c r="J299" s="6">
        <f t="shared" si="29"/>
        <v>24813.895781637719</v>
      </c>
      <c r="K299" s="7">
        <v>0.93</v>
      </c>
      <c r="L299" s="3">
        <v>391</v>
      </c>
      <c r="M299" s="3">
        <v>450</v>
      </c>
      <c r="N299" s="3">
        <v>59</v>
      </c>
      <c r="O299" s="5">
        <f t="shared" si="25"/>
        <v>0.86888888888888893</v>
      </c>
      <c r="P299" s="5">
        <f t="shared" si="26"/>
        <v>0.95854219948849106</v>
      </c>
      <c r="Q299" s="5">
        <f t="shared" si="27"/>
        <v>0.97518610421836227</v>
      </c>
      <c r="R299" s="5">
        <f t="shared" si="28"/>
        <v>0.81220000000000003</v>
      </c>
    </row>
    <row r="300" spans="1:18" x14ac:dyDescent="0.25">
      <c r="A300" s="3">
        <v>296</v>
      </c>
      <c r="B300" s="4">
        <v>46223</v>
      </c>
      <c r="C300" s="3" t="s">
        <v>30</v>
      </c>
      <c r="D300" s="3" t="s">
        <v>21</v>
      </c>
      <c r="E300" s="3" t="s">
        <v>32</v>
      </c>
      <c r="F300" s="3">
        <v>217</v>
      </c>
      <c r="G300" s="3">
        <v>210</v>
      </c>
      <c r="H300" s="3">
        <v>7</v>
      </c>
      <c r="I300" s="5">
        <f t="shared" si="24"/>
        <v>3.2258064516129031E-2</v>
      </c>
      <c r="J300" s="6">
        <f t="shared" si="29"/>
        <v>32258.06451612903</v>
      </c>
      <c r="K300" s="7">
        <v>1.67</v>
      </c>
      <c r="L300" s="3">
        <v>411</v>
      </c>
      <c r="M300" s="3">
        <v>450</v>
      </c>
      <c r="N300" s="3">
        <v>39</v>
      </c>
      <c r="O300" s="5">
        <f t="shared" si="25"/>
        <v>0.91333333333333333</v>
      </c>
      <c r="P300" s="5">
        <f t="shared" si="26"/>
        <v>0.8817274939172749</v>
      </c>
      <c r="Q300" s="5">
        <f t="shared" si="27"/>
        <v>0.967741935483871</v>
      </c>
      <c r="R300" s="5">
        <f t="shared" si="28"/>
        <v>0.77933333333333332</v>
      </c>
    </row>
    <row r="301" spans="1:18" x14ac:dyDescent="0.25">
      <c r="A301" s="3">
        <v>297</v>
      </c>
      <c r="B301" s="4">
        <v>46223</v>
      </c>
      <c r="C301" s="3" t="s">
        <v>30</v>
      </c>
      <c r="D301" s="3" t="s">
        <v>23</v>
      </c>
      <c r="E301" s="3" t="s">
        <v>20</v>
      </c>
      <c r="F301" s="3">
        <v>421</v>
      </c>
      <c r="G301" s="3">
        <v>418</v>
      </c>
      <c r="H301" s="3">
        <v>3</v>
      </c>
      <c r="I301" s="5">
        <f t="shared" si="24"/>
        <v>7.1258907363420431E-3</v>
      </c>
      <c r="J301" s="6">
        <f t="shared" si="29"/>
        <v>7125.8907363420431</v>
      </c>
      <c r="K301" s="7">
        <v>0.85</v>
      </c>
      <c r="L301" s="3">
        <v>403</v>
      </c>
      <c r="M301" s="3">
        <v>450</v>
      </c>
      <c r="N301" s="3">
        <v>47</v>
      </c>
      <c r="O301" s="5">
        <f t="shared" si="25"/>
        <v>0.89555555555555555</v>
      </c>
      <c r="P301" s="5">
        <f t="shared" si="26"/>
        <v>0.88796526054590563</v>
      </c>
      <c r="Q301" s="5">
        <f t="shared" si="27"/>
        <v>0.99287410926365793</v>
      </c>
      <c r="R301" s="5">
        <f t="shared" si="28"/>
        <v>0.78955555555555545</v>
      </c>
    </row>
    <row r="302" spans="1:18" x14ac:dyDescent="0.25">
      <c r="A302" s="3">
        <v>298</v>
      </c>
      <c r="B302" s="4">
        <v>46223</v>
      </c>
      <c r="C302" s="3" t="s">
        <v>33</v>
      </c>
      <c r="D302" s="3" t="s">
        <v>19</v>
      </c>
      <c r="E302" s="3" t="s">
        <v>31</v>
      </c>
      <c r="F302" s="3">
        <v>830</v>
      </c>
      <c r="G302" s="3">
        <v>805</v>
      </c>
      <c r="H302" s="3">
        <v>25</v>
      </c>
      <c r="I302" s="5">
        <f t="shared" si="24"/>
        <v>3.0120481927710843E-2</v>
      </c>
      <c r="J302" s="6">
        <f t="shared" si="29"/>
        <v>30120.481927710844</v>
      </c>
      <c r="K302" s="7">
        <v>0.48</v>
      </c>
      <c r="L302" s="3">
        <v>421</v>
      </c>
      <c r="M302" s="3">
        <v>450</v>
      </c>
      <c r="N302" s="3">
        <v>29</v>
      </c>
      <c r="O302" s="5">
        <f t="shared" si="25"/>
        <v>0.93555555555555558</v>
      </c>
      <c r="P302" s="5">
        <f t="shared" si="26"/>
        <v>0.94631828978622323</v>
      </c>
      <c r="Q302" s="5">
        <f t="shared" si="27"/>
        <v>0.96987951807228912</v>
      </c>
      <c r="R302" s="5">
        <f t="shared" si="28"/>
        <v>0.85866666666666658</v>
      </c>
    </row>
    <row r="303" spans="1:18" x14ac:dyDescent="0.25">
      <c r="A303" s="3">
        <v>299</v>
      </c>
      <c r="B303" s="4">
        <v>46223</v>
      </c>
      <c r="C303" s="3" t="s">
        <v>33</v>
      </c>
      <c r="D303" s="3" t="s">
        <v>21</v>
      </c>
      <c r="E303" s="3" t="s">
        <v>26</v>
      </c>
      <c r="F303" s="3">
        <v>280</v>
      </c>
      <c r="G303" s="3">
        <v>277</v>
      </c>
      <c r="H303" s="3">
        <v>3</v>
      </c>
      <c r="I303" s="5">
        <f t="shared" si="24"/>
        <v>1.0714285714285714E-2</v>
      </c>
      <c r="J303" s="6">
        <f t="shared" si="29"/>
        <v>10714.285714285714</v>
      </c>
      <c r="K303" s="7">
        <v>1.31</v>
      </c>
      <c r="L303" s="3">
        <v>427</v>
      </c>
      <c r="M303" s="3">
        <v>450</v>
      </c>
      <c r="N303" s="3">
        <v>23</v>
      </c>
      <c r="O303" s="5">
        <f t="shared" si="25"/>
        <v>0.94888888888888889</v>
      </c>
      <c r="P303" s="5">
        <f t="shared" si="26"/>
        <v>0.85901639344262293</v>
      </c>
      <c r="Q303" s="5">
        <f t="shared" si="27"/>
        <v>0.98928571428571432</v>
      </c>
      <c r="R303" s="5">
        <f t="shared" si="28"/>
        <v>0.80637777777777786</v>
      </c>
    </row>
    <row r="304" spans="1:18" x14ac:dyDescent="0.25">
      <c r="A304" s="3">
        <v>300</v>
      </c>
      <c r="B304" s="4">
        <v>46223</v>
      </c>
      <c r="C304" s="3" t="s">
        <v>33</v>
      </c>
      <c r="D304" s="3" t="s">
        <v>23</v>
      </c>
      <c r="E304" s="3" t="s">
        <v>31</v>
      </c>
      <c r="F304" s="3">
        <v>298</v>
      </c>
      <c r="G304" s="3">
        <v>294</v>
      </c>
      <c r="H304" s="3">
        <v>4</v>
      </c>
      <c r="I304" s="5">
        <f t="shared" si="24"/>
        <v>1.3422818791946308E-2</v>
      </c>
      <c r="J304" s="6">
        <f t="shared" si="29"/>
        <v>13422.818791946309</v>
      </c>
      <c r="K304" s="7">
        <v>1.48</v>
      </c>
      <c r="L304" s="3">
        <v>444</v>
      </c>
      <c r="M304" s="3">
        <v>450</v>
      </c>
      <c r="N304" s="3">
        <v>6</v>
      </c>
      <c r="O304" s="5">
        <f t="shared" si="25"/>
        <v>0.98666666666666669</v>
      </c>
      <c r="P304" s="5">
        <f t="shared" si="26"/>
        <v>0.9933333333333334</v>
      </c>
      <c r="Q304" s="5">
        <f t="shared" si="27"/>
        <v>0.98657718120805371</v>
      </c>
      <c r="R304" s="5">
        <f t="shared" si="28"/>
        <v>0.96693333333333342</v>
      </c>
    </row>
    <row r="305" spans="1:18" x14ac:dyDescent="0.25">
      <c r="A305" s="3">
        <v>301</v>
      </c>
      <c r="B305" s="4">
        <v>46224</v>
      </c>
      <c r="C305" s="3" t="s">
        <v>18</v>
      </c>
      <c r="D305" s="3" t="s">
        <v>19</v>
      </c>
      <c r="E305" s="3" t="s">
        <v>31</v>
      </c>
      <c r="F305" s="3">
        <v>279</v>
      </c>
      <c r="G305" s="3">
        <v>277</v>
      </c>
      <c r="H305" s="3">
        <v>2</v>
      </c>
      <c r="I305" s="5">
        <f t="shared" si="24"/>
        <v>7.1684587813620072E-3</v>
      </c>
      <c r="J305" s="6">
        <f t="shared" si="29"/>
        <v>7168.4587813620074</v>
      </c>
      <c r="K305" s="7">
        <v>1.32</v>
      </c>
      <c r="L305" s="3">
        <v>435</v>
      </c>
      <c r="M305" s="3">
        <v>450</v>
      </c>
      <c r="N305" s="3">
        <v>15</v>
      </c>
      <c r="O305" s="5">
        <f t="shared" si="25"/>
        <v>0.96666666666666667</v>
      </c>
      <c r="P305" s="5">
        <f t="shared" si="26"/>
        <v>0.84662068965517245</v>
      </c>
      <c r="Q305" s="5">
        <f t="shared" si="27"/>
        <v>0.99283154121863804</v>
      </c>
      <c r="R305" s="5">
        <f t="shared" si="28"/>
        <v>0.81253333333333333</v>
      </c>
    </row>
    <row r="306" spans="1:18" x14ac:dyDescent="0.25">
      <c r="A306" s="3">
        <v>302</v>
      </c>
      <c r="B306" s="4">
        <v>46224</v>
      </c>
      <c r="C306" s="3" t="s">
        <v>18</v>
      </c>
      <c r="D306" s="3" t="s">
        <v>21</v>
      </c>
      <c r="E306" s="3" t="s">
        <v>22</v>
      </c>
      <c r="F306" s="3">
        <v>546</v>
      </c>
      <c r="G306" s="3">
        <v>523</v>
      </c>
      <c r="H306" s="3">
        <v>23</v>
      </c>
      <c r="I306" s="5">
        <f t="shared" si="24"/>
        <v>4.2124542124542128E-2</v>
      </c>
      <c r="J306" s="6">
        <f t="shared" si="29"/>
        <v>42124.542124542124</v>
      </c>
      <c r="K306" s="7">
        <v>0.76</v>
      </c>
      <c r="L306" s="3">
        <v>438</v>
      </c>
      <c r="M306" s="3">
        <v>450</v>
      </c>
      <c r="N306" s="3">
        <v>12</v>
      </c>
      <c r="O306" s="5">
        <f t="shared" si="25"/>
        <v>0.97333333333333338</v>
      </c>
      <c r="P306" s="5">
        <f t="shared" si="26"/>
        <v>0.94739726027397253</v>
      </c>
      <c r="Q306" s="5">
        <f t="shared" si="27"/>
        <v>0.95787545787545791</v>
      </c>
      <c r="R306" s="5">
        <f t="shared" si="28"/>
        <v>0.8832888888888889</v>
      </c>
    </row>
    <row r="307" spans="1:18" x14ac:dyDescent="0.25">
      <c r="A307" s="3">
        <v>303</v>
      </c>
      <c r="B307" s="4">
        <v>46224</v>
      </c>
      <c r="C307" s="3" t="s">
        <v>18</v>
      </c>
      <c r="D307" s="3" t="s">
        <v>23</v>
      </c>
      <c r="E307" s="3" t="s">
        <v>31</v>
      </c>
      <c r="F307" s="3">
        <v>577</v>
      </c>
      <c r="G307" s="3">
        <v>552</v>
      </c>
      <c r="H307" s="3">
        <v>25</v>
      </c>
      <c r="I307" s="5">
        <f t="shared" si="24"/>
        <v>4.3327556325823226E-2</v>
      </c>
      <c r="J307" s="6">
        <f t="shared" si="29"/>
        <v>43327.556325823229</v>
      </c>
      <c r="K307" s="7">
        <v>0.64</v>
      </c>
      <c r="L307" s="3">
        <v>387</v>
      </c>
      <c r="M307" s="3">
        <v>450</v>
      </c>
      <c r="N307" s="3">
        <v>63</v>
      </c>
      <c r="O307" s="5">
        <f t="shared" si="25"/>
        <v>0.86</v>
      </c>
      <c r="P307" s="5">
        <f t="shared" si="26"/>
        <v>0.95421188630490961</v>
      </c>
      <c r="Q307" s="5">
        <f t="shared" si="27"/>
        <v>0.95667244367417681</v>
      </c>
      <c r="R307" s="5">
        <f t="shared" si="28"/>
        <v>0.78506666666666669</v>
      </c>
    </row>
    <row r="308" spans="1:18" x14ac:dyDescent="0.25">
      <c r="A308" s="3">
        <v>304</v>
      </c>
      <c r="B308" s="4">
        <v>46224</v>
      </c>
      <c r="C308" s="3" t="s">
        <v>25</v>
      </c>
      <c r="D308" s="3" t="s">
        <v>19</v>
      </c>
      <c r="E308" s="3" t="s">
        <v>20</v>
      </c>
      <c r="F308" s="3">
        <v>282</v>
      </c>
      <c r="G308" s="3">
        <v>274</v>
      </c>
      <c r="H308" s="3">
        <v>8</v>
      </c>
      <c r="I308" s="5">
        <f t="shared" si="24"/>
        <v>2.8368794326241134E-2</v>
      </c>
      <c r="J308" s="6">
        <f t="shared" si="29"/>
        <v>28368.794326241135</v>
      </c>
      <c r="K308" s="7">
        <v>1.23</v>
      </c>
      <c r="L308" s="3">
        <v>412</v>
      </c>
      <c r="M308" s="3">
        <v>450</v>
      </c>
      <c r="N308" s="3">
        <v>38</v>
      </c>
      <c r="O308" s="5">
        <f t="shared" si="25"/>
        <v>0.91555555555555557</v>
      </c>
      <c r="P308" s="5">
        <f t="shared" si="26"/>
        <v>0.8418932038834952</v>
      </c>
      <c r="Q308" s="5">
        <f t="shared" si="27"/>
        <v>0.97163120567375882</v>
      </c>
      <c r="R308" s="5">
        <f t="shared" si="28"/>
        <v>0.74893333333333334</v>
      </c>
    </row>
    <row r="309" spans="1:18" x14ac:dyDescent="0.25">
      <c r="A309" s="3">
        <v>305</v>
      </c>
      <c r="B309" s="4">
        <v>46224</v>
      </c>
      <c r="C309" s="3" t="s">
        <v>25</v>
      </c>
      <c r="D309" s="3" t="s">
        <v>21</v>
      </c>
      <c r="E309" s="3" t="s">
        <v>32</v>
      </c>
      <c r="F309" s="3">
        <v>436</v>
      </c>
      <c r="G309" s="3">
        <v>422</v>
      </c>
      <c r="H309" s="3">
        <v>14</v>
      </c>
      <c r="I309" s="5">
        <f t="shared" si="24"/>
        <v>3.2110091743119268E-2</v>
      </c>
      <c r="J309" s="6">
        <f t="shared" si="29"/>
        <v>32110.091743119268</v>
      </c>
      <c r="K309" s="7">
        <v>0.81</v>
      </c>
      <c r="L309" s="3">
        <v>402</v>
      </c>
      <c r="M309" s="3">
        <v>450</v>
      </c>
      <c r="N309" s="3">
        <v>48</v>
      </c>
      <c r="O309" s="5">
        <f t="shared" si="25"/>
        <v>0.89333333333333331</v>
      </c>
      <c r="P309" s="5">
        <f t="shared" si="26"/>
        <v>0.87850746268656721</v>
      </c>
      <c r="Q309" s="5">
        <f t="shared" si="27"/>
        <v>0.9678899082568807</v>
      </c>
      <c r="R309" s="5">
        <f t="shared" si="28"/>
        <v>0.75960000000000005</v>
      </c>
    </row>
    <row r="310" spans="1:18" x14ac:dyDescent="0.25">
      <c r="A310" s="3">
        <v>306</v>
      </c>
      <c r="B310" s="4">
        <v>46224</v>
      </c>
      <c r="C310" s="3" t="s">
        <v>25</v>
      </c>
      <c r="D310" s="3" t="s">
        <v>23</v>
      </c>
      <c r="E310" s="3" t="s">
        <v>31</v>
      </c>
      <c r="F310" s="3">
        <v>893</v>
      </c>
      <c r="G310" s="3">
        <v>857</v>
      </c>
      <c r="H310" s="3">
        <v>36</v>
      </c>
      <c r="I310" s="5">
        <f t="shared" si="24"/>
        <v>4.0313549832026875E-2</v>
      </c>
      <c r="J310" s="6">
        <f t="shared" si="29"/>
        <v>40313.549832026874</v>
      </c>
      <c r="K310" s="7">
        <v>0.38</v>
      </c>
      <c r="L310" s="3">
        <v>386</v>
      </c>
      <c r="M310" s="3">
        <v>450</v>
      </c>
      <c r="N310" s="3">
        <v>64</v>
      </c>
      <c r="O310" s="5">
        <f t="shared" si="25"/>
        <v>0.85777777777777775</v>
      </c>
      <c r="P310" s="5">
        <f t="shared" si="26"/>
        <v>0.87911917098445602</v>
      </c>
      <c r="Q310" s="5">
        <f t="shared" si="27"/>
        <v>0.95968645016797316</v>
      </c>
      <c r="R310" s="5">
        <f t="shared" si="28"/>
        <v>0.72368888888888894</v>
      </c>
    </row>
    <row r="311" spans="1:18" x14ac:dyDescent="0.25">
      <c r="A311" s="3">
        <v>307</v>
      </c>
      <c r="B311" s="4">
        <v>46224</v>
      </c>
      <c r="C311" s="3" t="s">
        <v>28</v>
      </c>
      <c r="D311" s="3" t="s">
        <v>19</v>
      </c>
      <c r="E311" s="3" t="s">
        <v>31</v>
      </c>
      <c r="F311" s="3">
        <v>348</v>
      </c>
      <c r="G311" s="3">
        <v>334</v>
      </c>
      <c r="H311" s="3">
        <v>14</v>
      </c>
      <c r="I311" s="5">
        <f t="shared" si="24"/>
        <v>4.0229885057471264E-2</v>
      </c>
      <c r="J311" s="6">
        <f t="shared" si="29"/>
        <v>40229.885057471263</v>
      </c>
      <c r="K311" s="7">
        <v>1.23</v>
      </c>
      <c r="L311" s="3">
        <v>423</v>
      </c>
      <c r="M311" s="3">
        <v>450</v>
      </c>
      <c r="N311" s="3">
        <v>27</v>
      </c>
      <c r="O311" s="5">
        <f t="shared" si="25"/>
        <v>0.94</v>
      </c>
      <c r="P311" s="5">
        <f t="shared" si="26"/>
        <v>1.0119148936170212</v>
      </c>
      <c r="Q311" s="5">
        <f t="shared" si="27"/>
        <v>0.95977011494252873</v>
      </c>
      <c r="R311" s="5">
        <f t="shared" si="28"/>
        <v>0.91293333333333326</v>
      </c>
    </row>
    <row r="312" spans="1:18" x14ac:dyDescent="0.25">
      <c r="A312" s="3">
        <v>308</v>
      </c>
      <c r="B312" s="4">
        <v>46224</v>
      </c>
      <c r="C312" s="3" t="s">
        <v>28</v>
      </c>
      <c r="D312" s="3" t="s">
        <v>21</v>
      </c>
      <c r="E312" s="3" t="s">
        <v>29</v>
      </c>
      <c r="F312" s="3">
        <v>467</v>
      </c>
      <c r="G312" s="3">
        <v>456</v>
      </c>
      <c r="H312" s="3">
        <v>11</v>
      </c>
      <c r="I312" s="5">
        <f t="shared" si="24"/>
        <v>2.3554603854389723E-2</v>
      </c>
      <c r="J312" s="6">
        <f t="shared" si="29"/>
        <v>23554.603854389723</v>
      </c>
      <c r="K312" s="7">
        <v>0.82</v>
      </c>
      <c r="L312" s="3">
        <v>418</v>
      </c>
      <c r="M312" s="3">
        <v>450</v>
      </c>
      <c r="N312" s="3">
        <v>32</v>
      </c>
      <c r="O312" s="5">
        <f t="shared" si="25"/>
        <v>0.92888888888888888</v>
      </c>
      <c r="P312" s="5">
        <f t="shared" si="26"/>
        <v>0.91612440191387556</v>
      </c>
      <c r="Q312" s="5">
        <f t="shared" si="27"/>
        <v>0.97644539614561032</v>
      </c>
      <c r="R312" s="5">
        <f t="shared" si="28"/>
        <v>0.8309333333333333</v>
      </c>
    </row>
    <row r="313" spans="1:18" x14ac:dyDescent="0.25">
      <c r="A313" s="3">
        <v>309</v>
      </c>
      <c r="B313" s="4">
        <v>46224</v>
      </c>
      <c r="C313" s="3" t="s">
        <v>28</v>
      </c>
      <c r="D313" s="3" t="s">
        <v>23</v>
      </c>
      <c r="E313" s="3" t="s">
        <v>35</v>
      </c>
      <c r="F313" s="3">
        <v>262</v>
      </c>
      <c r="G313" s="3">
        <v>251</v>
      </c>
      <c r="H313" s="3">
        <v>11</v>
      </c>
      <c r="I313" s="5">
        <f t="shared" si="24"/>
        <v>4.1984732824427481E-2</v>
      </c>
      <c r="J313" s="6">
        <f t="shared" si="29"/>
        <v>41984.732824427483</v>
      </c>
      <c r="K313" s="7">
        <v>1.27</v>
      </c>
      <c r="L313" s="3">
        <v>396</v>
      </c>
      <c r="M313" s="3">
        <v>450</v>
      </c>
      <c r="N313" s="3">
        <v>54</v>
      </c>
      <c r="O313" s="5">
        <f t="shared" si="25"/>
        <v>0.88</v>
      </c>
      <c r="P313" s="5">
        <f t="shared" si="26"/>
        <v>0.84025252525252525</v>
      </c>
      <c r="Q313" s="5">
        <f t="shared" si="27"/>
        <v>0.9580152671755725</v>
      </c>
      <c r="R313" s="5">
        <f t="shared" si="28"/>
        <v>0.70837777777777777</v>
      </c>
    </row>
    <row r="314" spans="1:18" x14ac:dyDescent="0.25">
      <c r="A314" s="3">
        <v>310</v>
      </c>
      <c r="B314" s="4">
        <v>46224</v>
      </c>
      <c r="C314" s="3" t="s">
        <v>30</v>
      </c>
      <c r="D314" s="3" t="s">
        <v>19</v>
      </c>
      <c r="E314" s="3" t="s">
        <v>24</v>
      </c>
      <c r="F314" s="3">
        <v>249</v>
      </c>
      <c r="G314" s="3">
        <v>238</v>
      </c>
      <c r="H314" s="3">
        <v>11</v>
      </c>
      <c r="I314" s="5">
        <f t="shared" si="24"/>
        <v>4.4176706827309238E-2</v>
      </c>
      <c r="J314" s="6">
        <f t="shared" si="29"/>
        <v>44176.706827309237</v>
      </c>
      <c r="K314" s="7">
        <v>1.69</v>
      </c>
      <c r="L314" s="3">
        <v>425</v>
      </c>
      <c r="M314" s="3">
        <v>450</v>
      </c>
      <c r="N314" s="3">
        <v>25</v>
      </c>
      <c r="O314" s="5">
        <f t="shared" si="25"/>
        <v>0.94444444444444442</v>
      </c>
      <c r="P314" s="5">
        <f t="shared" si="26"/>
        <v>0.99014117647058819</v>
      </c>
      <c r="Q314" s="5">
        <f t="shared" si="27"/>
        <v>0.95582329317269077</v>
      </c>
      <c r="R314" s="5">
        <f t="shared" si="28"/>
        <v>0.89382222222222218</v>
      </c>
    </row>
    <row r="315" spans="1:18" x14ac:dyDescent="0.25">
      <c r="A315" s="3">
        <v>311</v>
      </c>
      <c r="B315" s="4">
        <v>46224</v>
      </c>
      <c r="C315" s="3" t="s">
        <v>30</v>
      </c>
      <c r="D315" s="3" t="s">
        <v>21</v>
      </c>
      <c r="E315" s="3" t="s">
        <v>26</v>
      </c>
      <c r="F315" s="3">
        <v>261</v>
      </c>
      <c r="G315" s="3">
        <v>255</v>
      </c>
      <c r="H315" s="3">
        <v>6</v>
      </c>
      <c r="I315" s="5">
        <f t="shared" si="24"/>
        <v>2.2988505747126436E-2</v>
      </c>
      <c r="J315" s="6">
        <f t="shared" si="29"/>
        <v>22988.505747126437</v>
      </c>
      <c r="K315" s="7">
        <v>1.43</v>
      </c>
      <c r="L315" s="3">
        <v>385</v>
      </c>
      <c r="M315" s="3">
        <v>450</v>
      </c>
      <c r="N315" s="3">
        <v>65</v>
      </c>
      <c r="O315" s="5">
        <f t="shared" si="25"/>
        <v>0.85555555555555551</v>
      </c>
      <c r="P315" s="5">
        <f t="shared" si="26"/>
        <v>0.96942857142857131</v>
      </c>
      <c r="Q315" s="5">
        <f t="shared" si="27"/>
        <v>0.97701149425287359</v>
      </c>
      <c r="R315" s="5">
        <f t="shared" si="28"/>
        <v>0.81033333333333313</v>
      </c>
    </row>
    <row r="316" spans="1:18" x14ac:dyDescent="0.25">
      <c r="A316" s="3">
        <v>312</v>
      </c>
      <c r="B316" s="4">
        <v>46224</v>
      </c>
      <c r="C316" s="3" t="s">
        <v>30</v>
      </c>
      <c r="D316" s="3" t="s">
        <v>23</v>
      </c>
      <c r="E316" s="3" t="s">
        <v>35</v>
      </c>
      <c r="F316" s="3">
        <v>331</v>
      </c>
      <c r="G316" s="3">
        <v>321</v>
      </c>
      <c r="H316" s="3">
        <v>10</v>
      </c>
      <c r="I316" s="5">
        <f t="shared" si="24"/>
        <v>3.0211480362537766E-2</v>
      </c>
      <c r="J316" s="6">
        <f t="shared" si="29"/>
        <v>30211.480362537764</v>
      </c>
      <c r="K316" s="7">
        <v>1.01</v>
      </c>
      <c r="L316" s="3">
        <v>399</v>
      </c>
      <c r="M316" s="3">
        <v>450</v>
      </c>
      <c r="N316" s="3">
        <v>51</v>
      </c>
      <c r="O316" s="5">
        <f t="shared" si="25"/>
        <v>0.88666666666666671</v>
      </c>
      <c r="P316" s="5">
        <f t="shared" si="26"/>
        <v>0.83786967418546365</v>
      </c>
      <c r="Q316" s="5">
        <f t="shared" si="27"/>
        <v>0.96978851963746227</v>
      </c>
      <c r="R316" s="5">
        <f t="shared" si="28"/>
        <v>0.72046666666666681</v>
      </c>
    </row>
    <row r="317" spans="1:18" x14ac:dyDescent="0.25">
      <c r="A317" s="3">
        <v>313</v>
      </c>
      <c r="B317" s="4">
        <v>46224</v>
      </c>
      <c r="C317" s="3" t="s">
        <v>33</v>
      </c>
      <c r="D317" s="3" t="s">
        <v>19</v>
      </c>
      <c r="E317" s="3" t="s">
        <v>26</v>
      </c>
      <c r="F317" s="3">
        <v>513</v>
      </c>
      <c r="G317" s="3">
        <v>503</v>
      </c>
      <c r="H317" s="3">
        <v>10</v>
      </c>
      <c r="I317" s="5">
        <f t="shared" si="24"/>
        <v>1.9493177387914229E-2</v>
      </c>
      <c r="J317" s="6">
        <f t="shared" si="29"/>
        <v>19493.177387914227</v>
      </c>
      <c r="K317" s="7">
        <v>0.77</v>
      </c>
      <c r="L317" s="3">
        <v>427</v>
      </c>
      <c r="M317" s="3">
        <v>450</v>
      </c>
      <c r="N317" s="3">
        <v>23</v>
      </c>
      <c r="O317" s="5">
        <f t="shared" si="25"/>
        <v>0.94888888888888889</v>
      </c>
      <c r="P317" s="5">
        <f t="shared" si="26"/>
        <v>0.92508196721311475</v>
      </c>
      <c r="Q317" s="5">
        <f t="shared" si="27"/>
        <v>0.98050682261208577</v>
      </c>
      <c r="R317" s="5">
        <f t="shared" si="28"/>
        <v>0.86068888888888895</v>
      </c>
    </row>
    <row r="318" spans="1:18" x14ac:dyDescent="0.25">
      <c r="A318" s="3">
        <v>314</v>
      </c>
      <c r="B318" s="4">
        <v>46224</v>
      </c>
      <c r="C318" s="3" t="s">
        <v>33</v>
      </c>
      <c r="D318" s="3" t="s">
        <v>21</v>
      </c>
      <c r="E318" s="3" t="s">
        <v>24</v>
      </c>
      <c r="F318" s="3">
        <v>631</v>
      </c>
      <c r="G318" s="3">
        <v>606</v>
      </c>
      <c r="H318" s="3">
        <v>25</v>
      </c>
      <c r="I318" s="5">
        <f t="shared" si="24"/>
        <v>3.9619651347068144E-2</v>
      </c>
      <c r="J318" s="6">
        <f t="shared" si="29"/>
        <v>39619.651347068146</v>
      </c>
      <c r="K318" s="7">
        <v>0.67</v>
      </c>
      <c r="L318" s="3">
        <v>430</v>
      </c>
      <c r="M318" s="3">
        <v>450</v>
      </c>
      <c r="N318" s="3">
        <v>20</v>
      </c>
      <c r="O318" s="5">
        <f t="shared" si="25"/>
        <v>0.9555555555555556</v>
      </c>
      <c r="P318" s="5">
        <f t="shared" si="26"/>
        <v>0.983186046511628</v>
      </c>
      <c r="Q318" s="5">
        <f t="shared" si="27"/>
        <v>0.96038034865293187</v>
      </c>
      <c r="R318" s="5">
        <f t="shared" si="28"/>
        <v>0.90226666666666677</v>
      </c>
    </row>
    <row r="319" spans="1:18" x14ac:dyDescent="0.25">
      <c r="A319" s="3">
        <v>315</v>
      </c>
      <c r="B319" s="4">
        <v>46224</v>
      </c>
      <c r="C319" s="3" t="s">
        <v>33</v>
      </c>
      <c r="D319" s="3" t="s">
        <v>23</v>
      </c>
      <c r="E319" s="3" t="s">
        <v>32</v>
      </c>
      <c r="F319" s="3">
        <v>619</v>
      </c>
      <c r="G319" s="3">
        <v>596</v>
      </c>
      <c r="H319" s="3">
        <v>23</v>
      </c>
      <c r="I319" s="5">
        <f t="shared" si="24"/>
        <v>3.7156704361873988E-2</v>
      </c>
      <c r="J319" s="6">
        <f t="shared" si="29"/>
        <v>37156.704361873984</v>
      </c>
      <c r="K319" s="7">
        <v>0.59</v>
      </c>
      <c r="L319" s="3">
        <v>423</v>
      </c>
      <c r="M319" s="3">
        <v>450</v>
      </c>
      <c r="N319" s="3">
        <v>27</v>
      </c>
      <c r="O319" s="5">
        <f t="shared" si="25"/>
        <v>0.94</v>
      </c>
      <c r="P319" s="5">
        <f t="shared" si="26"/>
        <v>0.86338061465721039</v>
      </c>
      <c r="Q319" s="5">
        <f t="shared" si="27"/>
        <v>0.96284329563812598</v>
      </c>
      <c r="R319" s="5">
        <f t="shared" si="28"/>
        <v>0.78142222222222213</v>
      </c>
    </row>
    <row r="320" spans="1:18" x14ac:dyDescent="0.25">
      <c r="A320" s="3">
        <v>316</v>
      </c>
      <c r="B320" s="4">
        <v>46225</v>
      </c>
      <c r="C320" s="3" t="s">
        <v>18</v>
      </c>
      <c r="D320" s="3" t="s">
        <v>19</v>
      </c>
      <c r="E320" s="3" t="s">
        <v>27</v>
      </c>
      <c r="F320" s="3">
        <v>230</v>
      </c>
      <c r="G320" s="3">
        <v>222</v>
      </c>
      <c r="H320" s="3">
        <v>8</v>
      </c>
      <c r="I320" s="5">
        <f t="shared" si="24"/>
        <v>3.4782608695652174E-2</v>
      </c>
      <c r="J320" s="6">
        <f t="shared" si="29"/>
        <v>34782.608695652176</v>
      </c>
      <c r="K320" s="7">
        <v>1.57</v>
      </c>
      <c r="L320" s="3">
        <v>445</v>
      </c>
      <c r="M320" s="3">
        <v>450</v>
      </c>
      <c r="N320" s="3">
        <v>5</v>
      </c>
      <c r="O320" s="5">
        <f t="shared" si="25"/>
        <v>0.98888888888888893</v>
      </c>
      <c r="P320" s="5">
        <f t="shared" si="26"/>
        <v>0.81146067415730339</v>
      </c>
      <c r="Q320" s="5">
        <f t="shared" si="27"/>
        <v>0.9652173913043478</v>
      </c>
      <c r="R320" s="5">
        <f t="shared" si="28"/>
        <v>0.77453333333333341</v>
      </c>
    </row>
    <row r="321" spans="1:18" x14ac:dyDescent="0.25">
      <c r="A321" s="3">
        <v>317</v>
      </c>
      <c r="B321" s="4">
        <v>46225</v>
      </c>
      <c r="C321" s="3" t="s">
        <v>18</v>
      </c>
      <c r="D321" s="3" t="s">
        <v>21</v>
      </c>
      <c r="E321" s="3" t="s">
        <v>24</v>
      </c>
      <c r="F321" s="3">
        <v>867</v>
      </c>
      <c r="G321" s="3">
        <v>857</v>
      </c>
      <c r="H321" s="3">
        <v>10</v>
      </c>
      <c r="I321" s="5">
        <f t="shared" si="24"/>
        <v>1.1534025374855825E-2</v>
      </c>
      <c r="J321" s="6">
        <f t="shared" si="29"/>
        <v>11534.025374855824</v>
      </c>
      <c r="K321" s="7">
        <v>0.52</v>
      </c>
      <c r="L321" s="3">
        <v>438</v>
      </c>
      <c r="M321" s="3">
        <v>450</v>
      </c>
      <c r="N321" s="3">
        <v>12</v>
      </c>
      <c r="O321" s="5">
        <f t="shared" si="25"/>
        <v>0.97333333333333338</v>
      </c>
      <c r="P321" s="5">
        <f t="shared" si="26"/>
        <v>1.0293150684931507</v>
      </c>
      <c r="Q321" s="5">
        <f t="shared" si="27"/>
        <v>0.98846597462514418</v>
      </c>
      <c r="R321" s="5">
        <f t="shared" si="28"/>
        <v>0.99031111111111114</v>
      </c>
    </row>
    <row r="322" spans="1:18" x14ac:dyDescent="0.25">
      <c r="A322" s="3">
        <v>318</v>
      </c>
      <c r="B322" s="4">
        <v>46225</v>
      </c>
      <c r="C322" s="3" t="s">
        <v>18</v>
      </c>
      <c r="D322" s="3" t="s">
        <v>23</v>
      </c>
      <c r="E322" s="3" t="s">
        <v>34</v>
      </c>
      <c r="F322" s="3">
        <v>655</v>
      </c>
      <c r="G322" s="3">
        <v>636</v>
      </c>
      <c r="H322" s="3">
        <v>19</v>
      </c>
      <c r="I322" s="5">
        <f t="shared" si="24"/>
        <v>2.9007633587786259E-2</v>
      </c>
      <c r="J322" s="6">
        <f t="shared" si="29"/>
        <v>29007.633587786258</v>
      </c>
      <c r="K322" s="7">
        <v>0.56999999999999995</v>
      </c>
      <c r="L322" s="3">
        <v>422</v>
      </c>
      <c r="M322" s="3">
        <v>450</v>
      </c>
      <c r="N322" s="3">
        <v>28</v>
      </c>
      <c r="O322" s="5">
        <f t="shared" si="25"/>
        <v>0.93777777777777782</v>
      </c>
      <c r="P322" s="5">
        <f t="shared" si="26"/>
        <v>0.88471563981042645</v>
      </c>
      <c r="Q322" s="5">
        <f t="shared" si="27"/>
        <v>0.97099236641221376</v>
      </c>
      <c r="R322" s="5">
        <f t="shared" si="28"/>
        <v>0.80559999999999998</v>
      </c>
    </row>
    <row r="323" spans="1:18" x14ac:dyDescent="0.25">
      <c r="A323" s="3">
        <v>319</v>
      </c>
      <c r="B323" s="4">
        <v>46225</v>
      </c>
      <c r="C323" s="3" t="s">
        <v>25</v>
      </c>
      <c r="D323" s="3" t="s">
        <v>19</v>
      </c>
      <c r="E323" s="3" t="s">
        <v>35</v>
      </c>
      <c r="F323" s="3">
        <v>200</v>
      </c>
      <c r="G323" s="3">
        <v>198</v>
      </c>
      <c r="H323" s="3">
        <v>2</v>
      </c>
      <c r="I323" s="5">
        <f t="shared" si="24"/>
        <v>0.01</v>
      </c>
      <c r="J323" s="6">
        <f t="shared" si="29"/>
        <v>10000</v>
      </c>
      <c r="K323" s="7">
        <v>1.7</v>
      </c>
      <c r="L323" s="3">
        <v>428</v>
      </c>
      <c r="M323" s="3">
        <v>450</v>
      </c>
      <c r="N323" s="3">
        <v>22</v>
      </c>
      <c r="O323" s="5">
        <f t="shared" si="25"/>
        <v>0.95111111111111113</v>
      </c>
      <c r="P323" s="5">
        <f t="shared" si="26"/>
        <v>0.79439252336448596</v>
      </c>
      <c r="Q323" s="5">
        <f t="shared" si="27"/>
        <v>0.99</v>
      </c>
      <c r="R323" s="5">
        <f t="shared" si="28"/>
        <v>0.748</v>
      </c>
    </row>
    <row r="324" spans="1:18" x14ac:dyDescent="0.25">
      <c r="A324" s="3">
        <v>320</v>
      </c>
      <c r="B324" s="4">
        <v>46225</v>
      </c>
      <c r="C324" s="3" t="s">
        <v>25</v>
      </c>
      <c r="D324" s="3" t="s">
        <v>21</v>
      </c>
      <c r="E324" s="3" t="s">
        <v>20</v>
      </c>
      <c r="F324" s="3">
        <v>218</v>
      </c>
      <c r="G324" s="3">
        <v>209</v>
      </c>
      <c r="H324" s="3">
        <v>9</v>
      </c>
      <c r="I324" s="5">
        <f t="shared" si="24"/>
        <v>4.1284403669724773E-2</v>
      </c>
      <c r="J324" s="6">
        <f t="shared" si="29"/>
        <v>41284.403669724772</v>
      </c>
      <c r="K324" s="7">
        <v>1.5</v>
      </c>
      <c r="L324" s="3">
        <v>386</v>
      </c>
      <c r="M324" s="3">
        <v>450</v>
      </c>
      <c r="N324" s="3">
        <v>64</v>
      </c>
      <c r="O324" s="5">
        <f t="shared" si="25"/>
        <v>0.85777777777777775</v>
      </c>
      <c r="P324" s="5">
        <f t="shared" si="26"/>
        <v>0.84715025906735753</v>
      </c>
      <c r="Q324" s="5">
        <f t="shared" si="27"/>
        <v>0.95871559633027525</v>
      </c>
      <c r="R324" s="5">
        <f t="shared" si="28"/>
        <v>0.69666666666666666</v>
      </c>
    </row>
    <row r="325" spans="1:18" x14ac:dyDescent="0.25">
      <c r="A325" s="3">
        <v>321</v>
      </c>
      <c r="B325" s="4">
        <v>46225</v>
      </c>
      <c r="C325" s="3" t="s">
        <v>25</v>
      </c>
      <c r="D325" s="3" t="s">
        <v>23</v>
      </c>
      <c r="E325" s="3" t="s">
        <v>22</v>
      </c>
      <c r="F325" s="3">
        <v>315</v>
      </c>
      <c r="G325" s="3">
        <v>312</v>
      </c>
      <c r="H325" s="3">
        <v>3</v>
      </c>
      <c r="I325" s="5">
        <f t="shared" ref="I325:I388" si="30">IFERROR(H325/F325,0)</f>
        <v>9.5238095238095247E-3</v>
      </c>
      <c r="J325" s="6">
        <f t="shared" si="29"/>
        <v>9523.8095238095248</v>
      </c>
      <c r="K325" s="7">
        <v>1.31</v>
      </c>
      <c r="L325" s="3">
        <v>418</v>
      </c>
      <c r="M325" s="3">
        <v>450</v>
      </c>
      <c r="N325" s="3">
        <v>32</v>
      </c>
      <c r="O325" s="5">
        <f t="shared" ref="O325:O388" si="31">IFERROR(L325/M325,0)</f>
        <v>0.92888888888888888</v>
      </c>
      <c r="P325" s="5">
        <f t="shared" ref="P325:P388" si="32">IFERROR(F325*K325/L325,0)</f>
        <v>0.98720095693779908</v>
      </c>
      <c r="Q325" s="5">
        <f t="shared" ref="Q325:Q388" si="33">IFERROR(G325/F325,0)</f>
        <v>0.99047619047619051</v>
      </c>
      <c r="R325" s="5">
        <f t="shared" ref="R325:R388" si="34">O325*P325*Q325</f>
        <v>0.90826666666666678</v>
      </c>
    </row>
    <row r="326" spans="1:18" x14ac:dyDescent="0.25">
      <c r="A326" s="3">
        <v>322</v>
      </c>
      <c r="B326" s="4">
        <v>46225</v>
      </c>
      <c r="C326" s="3" t="s">
        <v>28</v>
      </c>
      <c r="D326" s="3" t="s">
        <v>19</v>
      </c>
      <c r="E326" s="3" t="s">
        <v>34</v>
      </c>
      <c r="F326" s="3">
        <v>419</v>
      </c>
      <c r="G326" s="3">
        <v>409</v>
      </c>
      <c r="H326" s="3">
        <v>10</v>
      </c>
      <c r="I326" s="5">
        <f t="shared" si="30"/>
        <v>2.386634844868735E-2</v>
      </c>
      <c r="J326" s="6">
        <f t="shared" ref="J326:J389" si="35">H326/F326*1000000</f>
        <v>23866.348448687349</v>
      </c>
      <c r="K326" s="7">
        <v>0.96</v>
      </c>
      <c r="L326" s="3">
        <v>439</v>
      </c>
      <c r="M326" s="3">
        <v>450</v>
      </c>
      <c r="N326" s="3">
        <v>11</v>
      </c>
      <c r="O326" s="5">
        <f t="shared" si="31"/>
        <v>0.97555555555555551</v>
      </c>
      <c r="P326" s="5">
        <f t="shared" si="32"/>
        <v>0.91626423690205017</v>
      </c>
      <c r="Q326" s="5">
        <f t="shared" si="33"/>
        <v>0.9761336515513126</v>
      </c>
      <c r="R326" s="5">
        <f t="shared" si="34"/>
        <v>0.87253333333333327</v>
      </c>
    </row>
    <row r="327" spans="1:18" x14ac:dyDescent="0.25">
      <c r="A327" s="3">
        <v>323</v>
      </c>
      <c r="B327" s="4">
        <v>46225</v>
      </c>
      <c r="C327" s="3" t="s">
        <v>28</v>
      </c>
      <c r="D327" s="3" t="s">
        <v>21</v>
      </c>
      <c r="E327" s="3" t="s">
        <v>31</v>
      </c>
      <c r="F327" s="3">
        <v>304</v>
      </c>
      <c r="G327" s="3">
        <v>290</v>
      </c>
      <c r="H327" s="3">
        <v>14</v>
      </c>
      <c r="I327" s="5">
        <f t="shared" si="30"/>
        <v>4.6052631578947366E-2</v>
      </c>
      <c r="J327" s="6">
        <f t="shared" si="35"/>
        <v>46052.631578947367</v>
      </c>
      <c r="K327" s="7">
        <v>1.34</v>
      </c>
      <c r="L327" s="3">
        <v>397</v>
      </c>
      <c r="M327" s="3">
        <v>450</v>
      </c>
      <c r="N327" s="3">
        <v>53</v>
      </c>
      <c r="O327" s="5">
        <f t="shared" si="31"/>
        <v>0.88222222222222224</v>
      </c>
      <c r="P327" s="5">
        <f t="shared" si="32"/>
        <v>1.026095717884131</v>
      </c>
      <c r="Q327" s="5">
        <f t="shared" si="33"/>
        <v>0.95394736842105265</v>
      </c>
      <c r="R327" s="5">
        <f t="shared" si="34"/>
        <v>0.86355555555555563</v>
      </c>
    </row>
    <row r="328" spans="1:18" x14ac:dyDescent="0.25">
      <c r="A328" s="3">
        <v>324</v>
      </c>
      <c r="B328" s="4">
        <v>46225</v>
      </c>
      <c r="C328" s="3" t="s">
        <v>28</v>
      </c>
      <c r="D328" s="3" t="s">
        <v>23</v>
      </c>
      <c r="E328" s="3" t="s">
        <v>31</v>
      </c>
      <c r="F328" s="3">
        <v>296</v>
      </c>
      <c r="G328" s="3">
        <v>286</v>
      </c>
      <c r="H328" s="3">
        <v>10</v>
      </c>
      <c r="I328" s="5">
        <f t="shared" si="30"/>
        <v>3.3783783783783786E-2</v>
      </c>
      <c r="J328" s="6">
        <f t="shared" si="35"/>
        <v>33783.783783783787</v>
      </c>
      <c r="K328" s="7">
        <v>1.1000000000000001</v>
      </c>
      <c r="L328" s="3">
        <v>406</v>
      </c>
      <c r="M328" s="3">
        <v>450</v>
      </c>
      <c r="N328" s="3">
        <v>44</v>
      </c>
      <c r="O328" s="5">
        <f t="shared" si="31"/>
        <v>0.90222222222222226</v>
      </c>
      <c r="P328" s="5">
        <f t="shared" si="32"/>
        <v>0.80197044334975376</v>
      </c>
      <c r="Q328" s="5">
        <f t="shared" si="33"/>
        <v>0.96621621621621623</v>
      </c>
      <c r="R328" s="5">
        <f t="shared" si="34"/>
        <v>0.69911111111111113</v>
      </c>
    </row>
    <row r="329" spans="1:18" x14ac:dyDescent="0.25">
      <c r="A329" s="3">
        <v>325</v>
      </c>
      <c r="B329" s="4">
        <v>46225</v>
      </c>
      <c r="C329" s="3" t="s">
        <v>30</v>
      </c>
      <c r="D329" s="3" t="s">
        <v>19</v>
      </c>
      <c r="E329" s="3" t="s">
        <v>20</v>
      </c>
      <c r="F329" s="3">
        <v>215</v>
      </c>
      <c r="G329" s="3">
        <v>211</v>
      </c>
      <c r="H329" s="3">
        <v>4</v>
      </c>
      <c r="I329" s="5">
        <f t="shared" si="30"/>
        <v>1.8604651162790697E-2</v>
      </c>
      <c r="J329" s="6">
        <f t="shared" si="35"/>
        <v>18604.651162790698</v>
      </c>
      <c r="K329" s="7">
        <v>1.77</v>
      </c>
      <c r="L329" s="3">
        <v>426</v>
      </c>
      <c r="M329" s="3">
        <v>450</v>
      </c>
      <c r="N329" s="3">
        <v>24</v>
      </c>
      <c r="O329" s="5">
        <f t="shared" si="31"/>
        <v>0.94666666666666666</v>
      </c>
      <c r="P329" s="5">
        <f t="shared" si="32"/>
        <v>0.89330985915492955</v>
      </c>
      <c r="Q329" s="5">
        <f t="shared" si="33"/>
        <v>0.98139534883720925</v>
      </c>
      <c r="R329" s="5">
        <f t="shared" si="34"/>
        <v>0.8299333333333333</v>
      </c>
    </row>
    <row r="330" spans="1:18" x14ac:dyDescent="0.25">
      <c r="A330" s="3">
        <v>326</v>
      </c>
      <c r="B330" s="4">
        <v>46225</v>
      </c>
      <c r="C330" s="3" t="s">
        <v>30</v>
      </c>
      <c r="D330" s="3" t="s">
        <v>21</v>
      </c>
      <c r="E330" s="3" t="s">
        <v>20</v>
      </c>
      <c r="F330" s="3">
        <v>961</v>
      </c>
      <c r="G330" s="3">
        <v>944</v>
      </c>
      <c r="H330" s="3">
        <v>17</v>
      </c>
      <c r="I330" s="5">
        <f t="shared" si="30"/>
        <v>1.7689906347554629E-2</v>
      </c>
      <c r="J330" s="6">
        <f t="shared" si="35"/>
        <v>17689.906347554628</v>
      </c>
      <c r="K330" s="7">
        <v>0.42</v>
      </c>
      <c r="L330" s="3">
        <v>426</v>
      </c>
      <c r="M330" s="3">
        <v>450</v>
      </c>
      <c r="N330" s="3">
        <v>24</v>
      </c>
      <c r="O330" s="5">
        <f t="shared" si="31"/>
        <v>0.94666666666666666</v>
      </c>
      <c r="P330" s="5">
        <f t="shared" si="32"/>
        <v>0.94746478873239437</v>
      </c>
      <c r="Q330" s="5">
        <f t="shared" si="33"/>
        <v>0.98231009365244537</v>
      </c>
      <c r="R330" s="5">
        <f t="shared" si="34"/>
        <v>0.88106666666666666</v>
      </c>
    </row>
    <row r="331" spans="1:18" x14ac:dyDescent="0.25">
      <c r="A331" s="3">
        <v>327</v>
      </c>
      <c r="B331" s="4">
        <v>46225</v>
      </c>
      <c r="C331" s="3" t="s">
        <v>30</v>
      </c>
      <c r="D331" s="3" t="s">
        <v>23</v>
      </c>
      <c r="E331" s="3" t="s">
        <v>29</v>
      </c>
      <c r="F331" s="3">
        <v>267</v>
      </c>
      <c r="G331" s="3">
        <v>262</v>
      </c>
      <c r="H331" s="3">
        <v>5</v>
      </c>
      <c r="I331" s="5">
        <f t="shared" si="30"/>
        <v>1.8726591760299626E-2</v>
      </c>
      <c r="J331" s="6">
        <f t="shared" si="35"/>
        <v>18726.591760299627</v>
      </c>
      <c r="K331" s="7">
        <v>1.49</v>
      </c>
      <c r="L331" s="3">
        <v>404</v>
      </c>
      <c r="M331" s="3">
        <v>450</v>
      </c>
      <c r="N331" s="3">
        <v>46</v>
      </c>
      <c r="O331" s="5">
        <f t="shared" si="31"/>
        <v>0.89777777777777779</v>
      </c>
      <c r="P331" s="5">
        <f t="shared" si="32"/>
        <v>0.98472772277227716</v>
      </c>
      <c r="Q331" s="5">
        <f t="shared" si="33"/>
        <v>0.98127340823970033</v>
      </c>
      <c r="R331" s="5">
        <f t="shared" si="34"/>
        <v>0.86751111111111112</v>
      </c>
    </row>
    <row r="332" spans="1:18" x14ac:dyDescent="0.25">
      <c r="A332" s="3">
        <v>328</v>
      </c>
      <c r="B332" s="4">
        <v>46225</v>
      </c>
      <c r="C332" s="3" t="s">
        <v>33</v>
      </c>
      <c r="D332" s="3" t="s">
        <v>19</v>
      </c>
      <c r="E332" s="3" t="s">
        <v>26</v>
      </c>
      <c r="F332" s="3">
        <v>465</v>
      </c>
      <c r="G332" s="3">
        <v>448</v>
      </c>
      <c r="H332" s="3">
        <v>17</v>
      </c>
      <c r="I332" s="5">
        <f t="shared" si="30"/>
        <v>3.6559139784946237E-2</v>
      </c>
      <c r="J332" s="6">
        <f t="shared" si="35"/>
        <v>36559.139784946237</v>
      </c>
      <c r="K332" s="7">
        <v>0.82</v>
      </c>
      <c r="L332" s="3">
        <v>395</v>
      </c>
      <c r="M332" s="3">
        <v>450</v>
      </c>
      <c r="N332" s="3">
        <v>55</v>
      </c>
      <c r="O332" s="5">
        <f t="shared" si="31"/>
        <v>0.87777777777777777</v>
      </c>
      <c r="P332" s="5">
        <f t="shared" si="32"/>
        <v>0.96531645569620239</v>
      </c>
      <c r="Q332" s="5">
        <f t="shared" si="33"/>
        <v>0.96344086021505382</v>
      </c>
      <c r="R332" s="5">
        <f t="shared" si="34"/>
        <v>0.81635555555555539</v>
      </c>
    </row>
    <row r="333" spans="1:18" x14ac:dyDescent="0.25">
      <c r="A333" s="3">
        <v>329</v>
      </c>
      <c r="B333" s="4">
        <v>46225</v>
      </c>
      <c r="C333" s="3" t="s">
        <v>33</v>
      </c>
      <c r="D333" s="3" t="s">
        <v>21</v>
      </c>
      <c r="E333" s="3" t="s">
        <v>29</v>
      </c>
      <c r="F333" s="3">
        <v>332</v>
      </c>
      <c r="G333" s="3">
        <v>319</v>
      </c>
      <c r="H333" s="3">
        <v>13</v>
      </c>
      <c r="I333" s="5">
        <f t="shared" si="30"/>
        <v>3.9156626506024098E-2</v>
      </c>
      <c r="J333" s="6">
        <f t="shared" si="35"/>
        <v>39156.626506024098</v>
      </c>
      <c r="K333" s="7">
        <v>1.06</v>
      </c>
      <c r="L333" s="3">
        <v>432</v>
      </c>
      <c r="M333" s="3">
        <v>450</v>
      </c>
      <c r="N333" s="3">
        <v>18</v>
      </c>
      <c r="O333" s="5">
        <f t="shared" si="31"/>
        <v>0.96</v>
      </c>
      <c r="P333" s="5">
        <f t="shared" si="32"/>
        <v>0.8146296296296297</v>
      </c>
      <c r="Q333" s="5">
        <f t="shared" si="33"/>
        <v>0.96084337349397586</v>
      </c>
      <c r="R333" s="5">
        <f t="shared" si="34"/>
        <v>0.75142222222222221</v>
      </c>
    </row>
    <row r="334" spans="1:18" x14ac:dyDescent="0.25">
      <c r="A334" s="3">
        <v>330</v>
      </c>
      <c r="B334" s="4">
        <v>46225</v>
      </c>
      <c r="C334" s="3" t="s">
        <v>33</v>
      </c>
      <c r="D334" s="3" t="s">
        <v>23</v>
      </c>
      <c r="E334" s="3" t="s">
        <v>24</v>
      </c>
      <c r="F334" s="3">
        <v>653</v>
      </c>
      <c r="G334" s="3">
        <v>636</v>
      </c>
      <c r="H334" s="3">
        <v>17</v>
      </c>
      <c r="I334" s="5">
        <f t="shared" si="30"/>
        <v>2.6033690658499236E-2</v>
      </c>
      <c r="J334" s="6">
        <f t="shared" si="35"/>
        <v>26033.690658499236</v>
      </c>
      <c r="K334" s="7">
        <v>0.49</v>
      </c>
      <c r="L334" s="3">
        <v>391</v>
      </c>
      <c r="M334" s="3">
        <v>450</v>
      </c>
      <c r="N334" s="3">
        <v>59</v>
      </c>
      <c r="O334" s="5">
        <f t="shared" si="31"/>
        <v>0.86888888888888893</v>
      </c>
      <c r="P334" s="5">
        <f t="shared" si="32"/>
        <v>0.81833759590792832</v>
      </c>
      <c r="Q334" s="5">
        <f t="shared" si="33"/>
        <v>0.97396630934150075</v>
      </c>
      <c r="R334" s="5">
        <f t="shared" si="34"/>
        <v>0.69253333333333322</v>
      </c>
    </row>
    <row r="335" spans="1:18" x14ac:dyDescent="0.25">
      <c r="A335" s="3">
        <v>331</v>
      </c>
      <c r="B335" s="4">
        <v>46226</v>
      </c>
      <c r="C335" s="3" t="s">
        <v>18</v>
      </c>
      <c r="D335" s="3" t="s">
        <v>19</v>
      </c>
      <c r="E335" s="3" t="s">
        <v>27</v>
      </c>
      <c r="F335" s="3">
        <v>717</v>
      </c>
      <c r="G335" s="3">
        <v>702</v>
      </c>
      <c r="H335" s="3">
        <v>15</v>
      </c>
      <c r="I335" s="5">
        <f t="shared" si="30"/>
        <v>2.0920502092050208E-2</v>
      </c>
      <c r="J335" s="6">
        <f t="shared" si="35"/>
        <v>20920.502092050207</v>
      </c>
      <c r="K335" s="7">
        <v>0.45</v>
      </c>
      <c r="L335" s="3">
        <v>414</v>
      </c>
      <c r="M335" s="3">
        <v>450</v>
      </c>
      <c r="N335" s="3">
        <v>36</v>
      </c>
      <c r="O335" s="5">
        <f t="shared" si="31"/>
        <v>0.92</v>
      </c>
      <c r="P335" s="5">
        <f t="shared" si="32"/>
        <v>0.77934782608695663</v>
      </c>
      <c r="Q335" s="5">
        <f t="shared" si="33"/>
        <v>0.97907949790794979</v>
      </c>
      <c r="R335" s="5">
        <f t="shared" si="34"/>
        <v>0.70200000000000007</v>
      </c>
    </row>
    <row r="336" spans="1:18" x14ac:dyDescent="0.25">
      <c r="A336" s="3">
        <v>332</v>
      </c>
      <c r="B336" s="4">
        <v>46226</v>
      </c>
      <c r="C336" s="3" t="s">
        <v>18</v>
      </c>
      <c r="D336" s="3" t="s">
        <v>21</v>
      </c>
      <c r="E336" s="3" t="s">
        <v>35</v>
      </c>
      <c r="F336" s="3">
        <v>237</v>
      </c>
      <c r="G336" s="3">
        <v>230</v>
      </c>
      <c r="H336" s="3">
        <v>7</v>
      </c>
      <c r="I336" s="5">
        <f t="shared" si="30"/>
        <v>2.9535864978902954E-2</v>
      </c>
      <c r="J336" s="6">
        <f t="shared" si="35"/>
        <v>29535.864978902955</v>
      </c>
      <c r="K336" s="7">
        <v>1.47</v>
      </c>
      <c r="L336" s="3">
        <v>442</v>
      </c>
      <c r="M336" s="3">
        <v>450</v>
      </c>
      <c r="N336" s="3">
        <v>8</v>
      </c>
      <c r="O336" s="5">
        <f t="shared" si="31"/>
        <v>0.98222222222222222</v>
      </c>
      <c r="P336" s="5">
        <f t="shared" si="32"/>
        <v>0.78821266968325787</v>
      </c>
      <c r="Q336" s="5">
        <f t="shared" si="33"/>
        <v>0.97046413502109707</v>
      </c>
      <c r="R336" s="5">
        <f t="shared" si="34"/>
        <v>0.75133333333333341</v>
      </c>
    </row>
    <row r="337" spans="1:18" x14ac:dyDescent="0.25">
      <c r="A337" s="3">
        <v>333</v>
      </c>
      <c r="B337" s="4">
        <v>46226</v>
      </c>
      <c r="C337" s="3" t="s">
        <v>18</v>
      </c>
      <c r="D337" s="3" t="s">
        <v>23</v>
      </c>
      <c r="E337" s="3" t="s">
        <v>20</v>
      </c>
      <c r="F337" s="3">
        <v>225</v>
      </c>
      <c r="G337" s="3">
        <v>216</v>
      </c>
      <c r="H337" s="3">
        <v>9</v>
      </c>
      <c r="I337" s="5">
        <f t="shared" si="30"/>
        <v>0.04</v>
      </c>
      <c r="J337" s="6">
        <f t="shared" si="35"/>
        <v>40000</v>
      </c>
      <c r="K337" s="7">
        <v>1.54</v>
      </c>
      <c r="L337" s="3">
        <v>425</v>
      </c>
      <c r="M337" s="3">
        <v>450</v>
      </c>
      <c r="N337" s="3">
        <v>25</v>
      </c>
      <c r="O337" s="5">
        <f t="shared" si="31"/>
        <v>0.94444444444444442</v>
      </c>
      <c r="P337" s="5">
        <f t="shared" si="32"/>
        <v>0.81529411764705884</v>
      </c>
      <c r="Q337" s="5">
        <f t="shared" si="33"/>
        <v>0.96</v>
      </c>
      <c r="R337" s="5">
        <f t="shared" si="34"/>
        <v>0.73919999999999997</v>
      </c>
    </row>
    <row r="338" spans="1:18" x14ac:dyDescent="0.25">
      <c r="A338" s="3">
        <v>334</v>
      </c>
      <c r="B338" s="4">
        <v>46226</v>
      </c>
      <c r="C338" s="3" t="s">
        <v>25</v>
      </c>
      <c r="D338" s="3" t="s">
        <v>19</v>
      </c>
      <c r="E338" s="3" t="s">
        <v>26</v>
      </c>
      <c r="F338" s="3">
        <v>258</v>
      </c>
      <c r="G338" s="3">
        <v>248</v>
      </c>
      <c r="H338" s="3">
        <v>10</v>
      </c>
      <c r="I338" s="5">
        <f t="shared" si="30"/>
        <v>3.875968992248062E-2</v>
      </c>
      <c r="J338" s="6">
        <f t="shared" si="35"/>
        <v>38759.689922480618</v>
      </c>
      <c r="K338" s="7">
        <v>1.54</v>
      </c>
      <c r="L338" s="3">
        <v>435</v>
      </c>
      <c r="M338" s="3">
        <v>450</v>
      </c>
      <c r="N338" s="3">
        <v>15</v>
      </c>
      <c r="O338" s="5">
        <f t="shared" si="31"/>
        <v>0.96666666666666667</v>
      </c>
      <c r="P338" s="5">
        <f t="shared" si="32"/>
        <v>0.91337931034482756</v>
      </c>
      <c r="Q338" s="5">
        <f t="shared" si="33"/>
        <v>0.96124031007751942</v>
      </c>
      <c r="R338" s="5">
        <f t="shared" si="34"/>
        <v>0.84871111111111119</v>
      </c>
    </row>
    <row r="339" spans="1:18" x14ac:dyDescent="0.25">
      <c r="A339" s="3">
        <v>335</v>
      </c>
      <c r="B339" s="4">
        <v>46226</v>
      </c>
      <c r="C339" s="3" t="s">
        <v>25</v>
      </c>
      <c r="D339" s="3" t="s">
        <v>21</v>
      </c>
      <c r="E339" s="3" t="s">
        <v>35</v>
      </c>
      <c r="F339" s="3">
        <v>843</v>
      </c>
      <c r="G339" s="3">
        <v>831</v>
      </c>
      <c r="H339" s="3">
        <v>12</v>
      </c>
      <c r="I339" s="5">
        <f t="shared" si="30"/>
        <v>1.4234875444839857E-2</v>
      </c>
      <c r="J339" s="6">
        <f t="shared" si="35"/>
        <v>14234.875444839858</v>
      </c>
      <c r="K339" s="7">
        <v>0.48</v>
      </c>
      <c r="L339" s="3">
        <v>420</v>
      </c>
      <c r="M339" s="3">
        <v>450</v>
      </c>
      <c r="N339" s="3">
        <v>30</v>
      </c>
      <c r="O339" s="5">
        <f t="shared" si="31"/>
        <v>0.93333333333333335</v>
      </c>
      <c r="P339" s="5">
        <f t="shared" si="32"/>
        <v>0.96342857142857141</v>
      </c>
      <c r="Q339" s="5">
        <f t="shared" si="33"/>
        <v>0.98576512455516019</v>
      </c>
      <c r="R339" s="5">
        <f t="shared" si="34"/>
        <v>0.88640000000000008</v>
      </c>
    </row>
    <row r="340" spans="1:18" x14ac:dyDescent="0.25">
      <c r="A340" s="3">
        <v>336</v>
      </c>
      <c r="B340" s="4">
        <v>46226</v>
      </c>
      <c r="C340" s="3" t="s">
        <v>25</v>
      </c>
      <c r="D340" s="3" t="s">
        <v>23</v>
      </c>
      <c r="E340" s="3" t="s">
        <v>24</v>
      </c>
      <c r="F340" s="3">
        <v>264</v>
      </c>
      <c r="G340" s="3">
        <v>255</v>
      </c>
      <c r="H340" s="3">
        <v>9</v>
      </c>
      <c r="I340" s="5">
        <f t="shared" si="30"/>
        <v>3.4090909090909088E-2</v>
      </c>
      <c r="J340" s="6">
        <f t="shared" si="35"/>
        <v>34090.909090909088</v>
      </c>
      <c r="K340" s="7">
        <v>1.44</v>
      </c>
      <c r="L340" s="3">
        <v>421</v>
      </c>
      <c r="M340" s="3">
        <v>450</v>
      </c>
      <c r="N340" s="3">
        <v>29</v>
      </c>
      <c r="O340" s="5">
        <f t="shared" si="31"/>
        <v>0.93555555555555558</v>
      </c>
      <c r="P340" s="5">
        <f t="shared" si="32"/>
        <v>0.90299287410926354</v>
      </c>
      <c r="Q340" s="5">
        <f t="shared" si="33"/>
        <v>0.96590909090909094</v>
      </c>
      <c r="R340" s="5">
        <f t="shared" si="34"/>
        <v>0.81599999999999995</v>
      </c>
    </row>
    <row r="341" spans="1:18" x14ac:dyDescent="0.25">
      <c r="A341" s="3">
        <v>337</v>
      </c>
      <c r="B341" s="4">
        <v>46226</v>
      </c>
      <c r="C341" s="3" t="s">
        <v>28</v>
      </c>
      <c r="D341" s="3" t="s">
        <v>19</v>
      </c>
      <c r="E341" s="3" t="s">
        <v>27</v>
      </c>
      <c r="F341" s="3">
        <v>349</v>
      </c>
      <c r="G341" s="3">
        <v>345</v>
      </c>
      <c r="H341" s="3">
        <v>4</v>
      </c>
      <c r="I341" s="5">
        <f t="shared" si="30"/>
        <v>1.1461318051575931E-2</v>
      </c>
      <c r="J341" s="6">
        <f t="shared" si="35"/>
        <v>11461.31805157593</v>
      </c>
      <c r="K341" s="7">
        <v>1.02</v>
      </c>
      <c r="L341" s="3">
        <v>427</v>
      </c>
      <c r="M341" s="3">
        <v>450</v>
      </c>
      <c r="N341" s="3">
        <v>23</v>
      </c>
      <c r="O341" s="5">
        <f t="shared" si="31"/>
        <v>0.94888888888888889</v>
      </c>
      <c r="P341" s="5">
        <f t="shared" si="32"/>
        <v>0.83367681498829049</v>
      </c>
      <c r="Q341" s="5">
        <f t="shared" si="33"/>
        <v>0.98853868194842409</v>
      </c>
      <c r="R341" s="5">
        <f t="shared" si="34"/>
        <v>0.78200000000000014</v>
      </c>
    </row>
    <row r="342" spans="1:18" x14ac:dyDescent="0.25">
      <c r="A342" s="3">
        <v>338</v>
      </c>
      <c r="B342" s="4">
        <v>46226</v>
      </c>
      <c r="C342" s="3" t="s">
        <v>28</v>
      </c>
      <c r="D342" s="3" t="s">
        <v>21</v>
      </c>
      <c r="E342" s="3" t="s">
        <v>34</v>
      </c>
      <c r="F342" s="3">
        <v>237</v>
      </c>
      <c r="G342" s="3">
        <v>235</v>
      </c>
      <c r="H342" s="3">
        <v>2</v>
      </c>
      <c r="I342" s="5">
        <f t="shared" si="30"/>
        <v>8.4388185654008432E-3</v>
      </c>
      <c r="J342" s="6">
        <f t="shared" si="35"/>
        <v>8438.818565400843</v>
      </c>
      <c r="K342" s="7">
        <v>1.44</v>
      </c>
      <c r="L342" s="3">
        <v>423</v>
      </c>
      <c r="M342" s="3">
        <v>450</v>
      </c>
      <c r="N342" s="3">
        <v>27</v>
      </c>
      <c r="O342" s="5">
        <f t="shared" si="31"/>
        <v>0.94</v>
      </c>
      <c r="P342" s="5">
        <f t="shared" si="32"/>
        <v>0.80680851063829784</v>
      </c>
      <c r="Q342" s="5">
        <f t="shared" si="33"/>
        <v>0.99156118143459915</v>
      </c>
      <c r="R342" s="5">
        <f t="shared" si="34"/>
        <v>0.752</v>
      </c>
    </row>
    <row r="343" spans="1:18" x14ac:dyDescent="0.25">
      <c r="A343" s="3">
        <v>339</v>
      </c>
      <c r="B343" s="4">
        <v>46226</v>
      </c>
      <c r="C343" s="3" t="s">
        <v>28</v>
      </c>
      <c r="D343" s="3" t="s">
        <v>23</v>
      </c>
      <c r="E343" s="3" t="s">
        <v>29</v>
      </c>
      <c r="F343" s="3">
        <v>704</v>
      </c>
      <c r="G343" s="3">
        <v>690</v>
      </c>
      <c r="H343" s="3">
        <v>14</v>
      </c>
      <c r="I343" s="5">
        <f t="shared" si="30"/>
        <v>1.9886363636363636E-2</v>
      </c>
      <c r="J343" s="6">
        <f t="shared" si="35"/>
        <v>19886.363636363636</v>
      </c>
      <c r="K343" s="7">
        <v>0.61</v>
      </c>
      <c r="L343" s="3">
        <v>436</v>
      </c>
      <c r="M343" s="3">
        <v>450</v>
      </c>
      <c r="N343" s="3">
        <v>14</v>
      </c>
      <c r="O343" s="5">
        <f t="shared" si="31"/>
        <v>0.96888888888888891</v>
      </c>
      <c r="P343" s="5">
        <f t="shared" si="32"/>
        <v>0.984954128440367</v>
      </c>
      <c r="Q343" s="5">
        <f t="shared" si="33"/>
        <v>0.98011363636363635</v>
      </c>
      <c r="R343" s="5">
        <f t="shared" si="34"/>
        <v>0.93533333333333335</v>
      </c>
    </row>
    <row r="344" spans="1:18" x14ac:dyDescent="0.25">
      <c r="A344" s="3">
        <v>340</v>
      </c>
      <c r="B344" s="4">
        <v>46226</v>
      </c>
      <c r="C344" s="3" t="s">
        <v>30</v>
      </c>
      <c r="D344" s="3" t="s">
        <v>19</v>
      </c>
      <c r="E344" s="3" t="s">
        <v>24</v>
      </c>
      <c r="F344" s="3">
        <v>197</v>
      </c>
      <c r="G344" s="3">
        <v>191</v>
      </c>
      <c r="H344" s="3">
        <v>6</v>
      </c>
      <c r="I344" s="5">
        <f t="shared" si="30"/>
        <v>3.0456852791878174E-2</v>
      </c>
      <c r="J344" s="6">
        <f t="shared" si="35"/>
        <v>30456.852791878173</v>
      </c>
      <c r="K344" s="7">
        <v>1.79</v>
      </c>
      <c r="L344" s="3">
        <v>435</v>
      </c>
      <c r="M344" s="3">
        <v>450</v>
      </c>
      <c r="N344" s="3">
        <v>15</v>
      </c>
      <c r="O344" s="5">
        <f t="shared" si="31"/>
        <v>0.96666666666666667</v>
      </c>
      <c r="P344" s="5">
        <f t="shared" si="32"/>
        <v>0.81064367816091953</v>
      </c>
      <c r="Q344" s="5">
        <f t="shared" si="33"/>
        <v>0.96954314720812185</v>
      </c>
      <c r="R344" s="5">
        <f t="shared" si="34"/>
        <v>0.75975555555555552</v>
      </c>
    </row>
    <row r="345" spans="1:18" x14ac:dyDescent="0.25">
      <c r="A345" s="3">
        <v>341</v>
      </c>
      <c r="B345" s="4">
        <v>46226</v>
      </c>
      <c r="C345" s="3" t="s">
        <v>30</v>
      </c>
      <c r="D345" s="3" t="s">
        <v>21</v>
      </c>
      <c r="E345" s="3" t="s">
        <v>31</v>
      </c>
      <c r="F345" s="3">
        <v>389</v>
      </c>
      <c r="G345" s="3">
        <v>372</v>
      </c>
      <c r="H345" s="3">
        <v>17</v>
      </c>
      <c r="I345" s="5">
        <f t="shared" si="30"/>
        <v>4.3701799485861184E-2</v>
      </c>
      <c r="J345" s="6">
        <f t="shared" si="35"/>
        <v>43701.799485861186</v>
      </c>
      <c r="K345" s="7">
        <v>1</v>
      </c>
      <c r="L345" s="3">
        <v>390</v>
      </c>
      <c r="M345" s="3">
        <v>450</v>
      </c>
      <c r="N345" s="3">
        <v>60</v>
      </c>
      <c r="O345" s="5">
        <f t="shared" si="31"/>
        <v>0.8666666666666667</v>
      </c>
      <c r="P345" s="5">
        <f t="shared" si="32"/>
        <v>0.99743589743589745</v>
      </c>
      <c r="Q345" s="5">
        <f t="shared" si="33"/>
        <v>0.95629820051413883</v>
      </c>
      <c r="R345" s="5">
        <f t="shared" si="34"/>
        <v>0.82666666666666666</v>
      </c>
    </row>
    <row r="346" spans="1:18" x14ac:dyDescent="0.25">
      <c r="A346" s="3">
        <v>342</v>
      </c>
      <c r="B346" s="4">
        <v>46226</v>
      </c>
      <c r="C346" s="3" t="s">
        <v>30</v>
      </c>
      <c r="D346" s="3" t="s">
        <v>23</v>
      </c>
      <c r="E346" s="3" t="s">
        <v>29</v>
      </c>
      <c r="F346" s="3">
        <v>215</v>
      </c>
      <c r="G346" s="3">
        <v>212</v>
      </c>
      <c r="H346" s="3">
        <v>3</v>
      </c>
      <c r="I346" s="5">
        <f t="shared" si="30"/>
        <v>1.3953488372093023E-2</v>
      </c>
      <c r="J346" s="6">
        <f t="shared" si="35"/>
        <v>13953.488372093023</v>
      </c>
      <c r="K346" s="7">
        <v>1.62</v>
      </c>
      <c r="L346" s="3">
        <v>422</v>
      </c>
      <c r="M346" s="3">
        <v>450</v>
      </c>
      <c r="N346" s="3">
        <v>28</v>
      </c>
      <c r="O346" s="5">
        <f t="shared" si="31"/>
        <v>0.93777777777777782</v>
      </c>
      <c r="P346" s="5">
        <f t="shared" si="32"/>
        <v>0.82535545023696688</v>
      </c>
      <c r="Q346" s="5">
        <f t="shared" si="33"/>
        <v>0.98604651162790702</v>
      </c>
      <c r="R346" s="5">
        <f t="shared" si="34"/>
        <v>0.76320000000000021</v>
      </c>
    </row>
    <row r="347" spans="1:18" x14ac:dyDescent="0.25">
      <c r="A347" s="3">
        <v>343</v>
      </c>
      <c r="B347" s="4">
        <v>46226</v>
      </c>
      <c r="C347" s="3" t="s">
        <v>33</v>
      </c>
      <c r="D347" s="3" t="s">
        <v>19</v>
      </c>
      <c r="E347" s="3" t="s">
        <v>22</v>
      </c>
      <c r="F347" s="3">
        <v>287</v>
      </c>
      <c r="G347" s="3">
        <v>279</v>
      </c>
      <c r="H347" s="3">
        <v>8</v>
      </c>
      <c r="I347" s="5">
        <f t="shared" si="30"/>
        <v>2.7874564459930314E-2</v>
      </c>
      <c r="J347" s="6">
        <f t="shared" si="35"/>
        <v>27874.564459930312</v>
      </c>
      <c r="K347" s="7">
        <v>1.3</v>
      </c>
      <c r="L347" s="3">
        <v>388</v>
      </c>
      <c r="M347" s="3">
        <v>450</v>
      </c>
      <c r="N347" s="3">
        <v>62</v>
      </c>
      <c r="O347" s="5">
        <f t="shared" si="31"/>
        <v>0.86222222222222222</v>
      </c>
      <c r="P347" s="5">
        <f t="shared" si="32"/>
        <v>0.96159793814432992</v>
      </c>
      <c r="Q347" s="5">
        <f t="shared" si="33"/>
        <v>0.97212543554006969</v>
      </c>
      <c r="R347" s="5">
        <f t="shared" si="34"/>
        <v>0.80600000000000005</v>
      </c>
    </row>
    <row r="348" spans="1:18" x14ac:dyDescent="0.25">
      <c r="A348" s="3">
        <v>344</v>
      </c>
      <c r="B348" s="4">
        <v>46226</v>
      </c>
      <c r="C348" s="3" t="s">
        <v>33</v>
      </c>
      <c r="D348" s="3" t="s">
        <v>21</v>
      </c>
      <c r="E348" s="3" t="s">
        <v>29</v>
      </c>
      <c r="F348" s="3">
        <v>367</v>
      </c>
      <c r="G348" s="3">
        <v>355</v>
      </c>
      <c r="H348" s="3">
        <v>12</v>
      </c>
      <c r="I348" s="5">
        <f t="shared" si="30"/>
        <v>3.2697547683923703E-2</v>
      </c>
      <c r="J348" s="6">
        <f t="shared" si="35"/>
        <v>32697.547683923702</v>
      </c>
      <c r="K348" s="7">
        <v>1.1499999999999999</v>
      </c>
      <c r="L348" s="3">
        <v>428</v>
      </c>
      <c r="M348" s="3">
        <v>450</v>
      </c>
      <c r="N348" s="3">
        <v>22</v>
      </c>
      <c r="O348" s="5">
        <f t="shared" si="31"/>
        <v>0.95111111111111113</v>
      </c>
      <c r="P348" s="5">
        <f t="shared" si="32"/>
        <v>0.98609813084112141</v>
      </c>
      <c r="Q348" s="5">
        <f t="shared" si="33"/>
        <v>0.96730245231607626</v>
      </c>
      <c r="R348" s="5">
        <f t="shared" si="34"/>
        <v>0.90722222222222204</v>
      </c>
    </row>
    <row r="349" spans="1:18" x14ac:dyDescent="0.25">
      <c r="A349" s="3">
        <v>345</v>
      </c>
      <c r="B349" s="4">
        <v>46226</v>
      </c>
      <c r="C349" s="3" t="s">
        <v>33</v>
      </c>
      <c r="D349" s="3" t="s">
        <v>23</v>
      </c>
      <c r="E349" s="3" t="s">
        <v>24</v>
      </c>
      <c r="F349" s="3">
        <v>985</v>
      </c>
      <c r="G349" s="3">
        <v>962</v>
      </c>
      <c r="H349" s="3">
        <v>23</v>
      </c>
      <c r="I349" s="5">
        <f t="shared" si="30"/>
        <v>2.3350253807106598E-2</v>
      </c>
      <c r="J349" s="6">
        <f t="shared" si="35"/>
        <v>23350.253807106597</v>
      </c>
      <c r="K349" s="7">
        <v>0.39</v>
      </c>
      <c r="L349" s="3">
        <v>413</v>
      </c>
      <c r="M349" s="3">
        <v>450</v>
      </c>
      <c r="N349" s="3">
        <v>37</v>
      </c>
      <c r="O349" s="5">
        <f t="shared" si="31"/>
        <v>0.9177777777777778</v>
      </c>
      <c r="P349" s="5">
        <f t="shared" si="32"/>
        <v>0.93014527845036332</v>
      </c>
      <c r="Q349" s="5">
        <f t="shared" si="33"/>
        <v>0.97664974619289335</v>
      </c>
      <c r="R349" s="5">
        <f t="shared" si="34"/>
        <v>0.83373333333333344</v>
      </c>
    </row>
    <row r="350" spans="1:18" x14ac:dyDescent="0.25">
      <c r="A350" s="3">
        <v>346</v>
      </c>
      <c r="B350" s="4">
        <v>46227</v>
      </c>
      <c r="C350" s="3" t="s">
        <v>18</v>
      </c>
      <c r="D350" s="3" t="s">
        <v>19</v>
      </c>
      <c r="E350" s="3" t="s">
        <v>20</v>
      </c>
      <c r="F350" s="3">
        <v>535</v>
      </c>
      <c r="G350" s="3">
        <v>516</v>
      </c>
      <c r="H350" s="3">
        <v>19</v>
      </c>
      <c r="I350" s="5">
        <f t="shared" si="30"/>
        <v>3.5514018691588788E-2</v>
      </c>
      <c r="J350" s="6">
        <f t="shared" si="35"/>
        <v>35514.01869158879</v>
      </c>
      <c r="K350" s="7">
        <v>0.73</v>
      </c>
      <c r="L350" s="3">
        <v>442</v>
      </c>
      <c r="M350" s="3">
        <v>450</v>
      </c>
      <c r="N350" s="3">
        <v>8</v>
      </c>
      <c r="O350" s="5">
        <f t="shared" si="31"/>
        <v>0.98222222222222222</v>
      </c>
      <c r="P350" s="5">
        <f t="shared" si="32"/>
        <v>0.88359728506787338</v>
      </c>
      <c r="Q350" s="5">
        <f t="shared" si="33"/>
        <v>0.96448598130841123</v>
      </c>
      <c r="R350" s="5">
        <f t="shared" si="34"/>
        <v>0.83706666666666674</v>
      </c>
    </row>
    <row r="351" spans="1:18" x14ac:dyDescent="0.25">
      <c r="A351" s="3">
        <v>347</v>
      </c>
      <c r="B351" s="4">
        <v>46227</v>
      </c>
      <c r="C351" s="3" t="s">
        <v>18</v>
      </c>
      <c r="D351" s="3" t="s">
        <v>21</v>
      </c>
      <c r="E351" s="3" t="s">
        <v>27</v>
      </c>
      <c r="F351" s="3">
        <v>239</v>
      </c>
      <c r="G351" s="3">
        <v>236</v>
      </c>
      <c r="H351" s="3">
        <v>3</v>
      </c>
      <c r="I351" s="5">
        <f t="shared" si="30"/>
        <v>1.2552301255230125E-2</v>
      </c>
      <c r="J351" s="6">
        <f t="shared" si="35"/>
        <v>12552.301255230126</v>
      </c>
      <c r="K351" s="7">
        <v>1.55</v>
      </c>
      <c r="L351" s="3">
        <v>424</v>
      </c>
      <c r="M351" s="3">
        <v>450</v>
      </c>
      <c r="N351" s="3">
        <v>26</v>
      </c>
      <c r="O351" s="5">
        <f t="shared" si="31"/>
        <v>0.94222222222222218</v>
      </c>
      <c r="P351" s="5">
        <f t="shared" si="32"/>
        <v>0.87370283018867922</v>
      </c>
      <c r="Q351" s="5">
        <f t="shared" si="33"/>
        <v>0.9874476987447699</v>
      </c>
      <c r="R351" s="5">
        <f t="shared" si="34"/>
        <v>0.81288888888888888</v>
      </c>
    </row>
    <row r="352" spans="1:18" x14ac:dyDescent="0.25">
      <c r="A352" s="3">
        <v>348</v>
      </c>
      <c r="B352" s="4">
        <v>46227</v>
      </c>
      <c r="C352" s="3" t="s">
        <v>18</v>
      </c>
      <c r="D352" s="3" t="s">
        <v>23</v>
      </c>
      <c r="E352" s="3" t="s">
        <v>24</v>
      </c>
      <c r="F352" s="3">
        <v>317</v>
      </c>
      <c r="G352" s="3">
        <v>309</v>
      </c>
      <c r="H352" s="3">
        <v>8</v>
      </c>
      <c r="I352" s="5">
        <f t="shared" si="30"/>
        <v>2.5236593059936908E-2</v>
      </c>
      <c r="J352" s="6">
        <f t="shared" si="35"/>
        <v>25236.593059936909</v>
      </c>
      <c r="K352" s="7">
        <v>1.1100000000000001</v>
      </c>
      <c r="L352" s="3">
        <v>411</v>
      </c>
      <c r="M352" s="3">
        <v>450</v>
      </c>
      <c r="N352" s="3">
        <v>39</v>
      </c>
      <c r="O352" s="5">
        <f t="shared" si="31"/>
        <v>0.91333333333333333</v>
      </c>
      <c r="P352" s="5">
        <f t="shared" si="32"/>
        <v>0.85613138686131385</v>
      </c>
      <c r="Q352" s="5">
        <f t="shared" si="33"/>
        <v>0.97476340694006314</v>
      </c>
      <c r="R352" s="5">
        <f t="shared" si="34"/>
        <v>0.76219999999999999</v>
      </c>
    </row>
    <row r="353" spans="1:18" x14ac:dyDescent="0.25">
      <c r="A353" s="3">
        <v>349</v>
      </c>
      <c r="B353" s="4">
        <v>46227</v>
      </c>
      <c r="C353" s="3" t="s">
        <v>25</v>
      </c>
      <c r="D353" s="3" t="s">
        <v>19</v>
      </c>
      <c r="E353" s="3" t="s">
        <v>20</v>
      </c>
      <c r="F353" s="3">
        <v>231</v>
      </c>
      <c r="G353" s="3">
        <v>228</v>
      </c>
      <c r="H353" s="3">
        <v>3</v>
      </c>
      <c r="I353" s="5">
        <f t="shared" si="30"/>
        <v>1.2987012987012988E-2</v>
      </c>
      <c r="J353" s="6">
        <f t="shared" si="35"/>
        <v>12987.012987012988</v>
      </c>
      <c r="K353" s="7">
        <v>1.33</v>
      </c>
      <c r="L353" s="3">
        <v>394</v>
      </c>
      <c r="M353" s="3">
        <v>450</v>
      </c>
      <c r="N353" s="3">
        <v>56</v>
      </c>
      <c r="O353" s="5">
        <f t="shared" si="31"/>
        <v>0.87555555555555553</v>
      </c>
      <c r="P353" s="5">
        <f t="shared" si="32"/>
        <v>0.77977157360406091</v>
      </c>
      <c r="Q353" s="5">
        <f t="shared" si="33"/>
        <v>0.98701298701298701</v>
      </c>
      <c r="R353" s="5">
        <f t="shared" si="34"/>
        <v>0.67386666666666661</v>
      </c>
    </row>
    <row r="354" spans="1:18" x14ac:dyDescent="0.25">
      <c r="A354" s="3">
        <v>350</v>
      </c>
      <c r="B354" s="4">
        <v>46227</v>
      </c>
      <c r="C354" s="3" t="s">
        <v>25</v>
      </c>
      <c r="D354" s="3" t="s">
        <v>21</v>
      </c>
      <c r="E354" s="3" t="s">
        <v>20</v>
      </c>
      <c r="F354" s="3">
        <v>251</v>
      </c>
      <c r="G354" s="3">
        <v>248</v>
      </c>
      <c r="H354" s="3">
        <v>3</v>
      </c>
      <c r="I354" s="5">
        <f t="shared" si="30"/>
        <v>1.1952191235059761E-2</v>
      </c>
      <c r="J354" s="6">
        <f t="shared" si="35"/>
        <v>11952.191235059761</v>
      </c>
      <c r="K354" s="7">
        <v>1.65</v>
      </c>
      <c r="L354" s="3">
        <v>441</v>
      </c>
      <c r="M354" s="3">
        <v>450</v>
      </c>
      <c r="N354" s="3">
        <v>9</v>
      </c>
      <c r="O354" s="5">
        <f t="shared" si="31"/>
        <v>0.98</v>
      </c>
      <c r="P354" s="5">
        <f t="shared" si="32"/>
        <v>0.9391156462585033</v>
      </c>
      <c r="Q354" s="5">
        <f t="shared" si="33"/>
        <v>0.98804780876494025</v>
      </c>
      <c r="R354" s="5">
        <f t="shared" si="34"/>
        <v>0.90933333333333322</v>
      </c>
    </row>
    <row r="355" spans="1:18" x14ac:dyDescent="0.25">
      <c r="A355" s="3">
        <v>351</v>
      </c>
      <c r="B355" s="4">
        <v>46227</v>
      </c>
      <c r="C355" s="3" t="s">
        <v>25</v>
      </c>
      <c r="D355" s="3" t="s">
        <v>23</v>
      </c>
      <c r="E355" s="3" t="s">
        <v>29</v>
      </c>
      <c r="F355" s="3">
        <v>241</v>
      </c>
      <c r="G355" s="3">
        <v>231</v>
      </c>
      <c r="H355" s="3">
        <v>10</v>
      </c>
      <c r="I355" s="5">
        <f t="shared" si="30"/>
        <v>4.1493775933609957E-2</v>
      </c>
      <c r="J355" s="6">
        <f t="shared" si="35"/>
        <v>41493.775933609955</v>
      </c>
      <c r="K355" s="7">
        <v>1.64</v>
      </c>
      <c r="L355" s="3">
        <v>440</v>
      </c>
      <c r="M355" s="3">
        <v>450</v>
      </c>
      <c r="N355" s="3">
        <v>10</v>
      </c>
      <c r="O355" s="5">
        <f t="shared" si="31"/>
        <v>0.97777777777777775</v>
      </c>
      <c r="P355" s="5">
        <f t="shared" si="32"/>
        <v>0.89827272727272711</v>
      </c>
      <c r="Q355" s="5">
        <f t="shared" si="33"/>
        <v>0.95850622406639008</v>
      </c>
      <c r="R355" s="5">
        <f t="shared" si="34"/>
        <v>0.84186666666666654</v>
      </c>
    </row>
    <row r="356" spans="1:18" x14ac:dyDescent="0.25">
      <c r="A356" s="3">
        <v>352</v>
      </c>
      <c r="B356" s="4">
        <v>46227</v>
      </c>
      <c r="C356" s="3" t="s">
        <v>28</v>
      </c>
      <c r="D356" s="3" t="s">
        <v>19</v>
      </c>
      <c r="E356" s="3" t="s">
        <v>27</v>
      </c>
      <c r="F356" s="3">
        <v>790</v>
      </c>
      <c r="G356" s="3">
        <v>768</v>
      </c>
      <c r="H356" s="3">
        <v>22</v>
      </c>
      <c r="I356" s="5">
        <f t="shared" si="30"/>
        <v>2.7848101265822784E-2</v>
      </c>
      <c r="J356" s="6">
        <f t="shared" si="35"/>
        <v>27848.101265822785</v>
      </c>
      <c r="K356" s="7">
        <v>0.44</v>
      </c>
      <c r="L356" s="3">
        <v>417</v>
      </c>
      <c r="M356" s="3">
        <v>450</v>
      </c>
      <c r="N356" s="3">
        <v>33</v>
      </c>
      <c r="O356" s="5">
        <f t="shared" si="31"/>
        <v>0.92666666666666664</v>
      </c>
      <c r="P356" s="5">
        <f t="shared" si="32"/>
        <v>0.83357314148681061</v>
      </c>
      <c r="Q356" s="5">
        <f t="shared" si="33"/>
        <v>0.97215189873417718</v>
      </c>
      <c r="R356" s="5">
        <f t="shared" si="34"/>
        <v>0.75093333333333334</v>
      </c>
    </row>
    <row r="357" spans="1:18" x14ac:dyDescent="0.25">
      <c r="A357" s="3">
        <v>353</v>
      </c>
      <c r="B357" s="4">
        <v>46227</v>
      </c>
      <c r="C357" s="3" t="s">
        <v>28</v>
      </c>
      <c r="D357" s="3" t="s">
        <v>21</v>
      </c>
      <c r="E357" s="3" t="s">
        <v>24</v>
      </c>
      <c r="F357" s="3">
        <v>564</v>
      </c>
      <c r="G357" s="3">
        <v>560</v>
      </c>
      <c r="H357" s="3">
        <v>4</v>
      </c>
      <c r="I357" s="5">
        <f t="shared" si="30"/>
        <v>7.0921985815602835E-3</v>
      </c>
      <c r="J357" s="6">
        <f t="shared" si="35"/>
        <v>7092.1985815602839</v>
      </c>
      <c r="K357" s="7">
        <v>0.63</v>
      </c>
      <c r="L357" s="3">
        <v>427</v>
      </c>
      <c r="M357" s="3">
        <v>450</v>
      </c>
      <c r="N357" s="3">
        <v>23</v>
      </c>
      <c r="O357" s="5">
        <f t="shared" si="31"/>
        <v>0.94888888888888889</v>
      </c>
      <c r="P357" s="5">
        <f t="shared" si="32"/>
        <v>0.83213114754098361</v>
      </c>
      <c r="Q357" s="5">
        <f t="shared" si="33"/>
        <v>0.99290780141843971</v>
      </c>
      <c r="R357" s="5">
        <f t="shared" si="34"/>
        <v>0.78399999999999992</v>
      </c>
    </row>
    <row r="358" spans="1:18" x14ac:dyDescent="0.25">
      <c r="A358" s="3">
        <v>354</v>
      </c>
      <c r="B358" s="4">
        <v>46227</v>
      </c>
      <c r="C358" s="3" t="s">
        <v>28</v>
      </c>
      <c r="D358" s="3" t="s">
        <v>23</v>
      </c>
      <c r="E358" s="3" t="s">
        <v>24</v>
      </c>
      <c r="F358" s="3">
        <v>550</v>
      </c>
      <c r="G358" s="3">
        <v>544</v>
      </c>
      <c r="H358" s="3">
        <v>6</v>
      </c>
      <c r="I358" s="5">
        <f t="shared" si="30"/>
        <v>1.090909090909091E-2</v>
      </c>
      <c r="J358" s="6">
        <f t="shared" si="35"/>
        <v>10909.09090909091</v>
      </c>
      <c r="K358" s="7">
        <v>0.65</v>
      </c>
      <c r="L358" s="3">
        <v>404</v>
      </c>
      <c r="M358" s="3">
        <v>450</v>
      </c>
      <c r="N358" s="3">
        <v>46</v>
      </c>
      <c r="O358" s="5">
        <f t="shared" si="31"/>
        <v>0.89777777777777779</v>
      </c>
      <c r="P358" s="5">
        <f t="shared" si="32"/>
        <v>0.88490099009900991</v>
      </c>
      <c r="Q358" s="5">
        <f t="shared" si="33"/>
        <v>0.98909090909090913</v>
      </c>
      <c r="R358" s="5">
        <f t="shared" si="34"/>
        <v>0.78577777777777791</v>
      </c>
    </row>
    <row r="359" spans="1:18" x14ac:dyDescent="0.25">
      <c r="A359" s="3">
        <v>355</v>
      </c>
      <c r="B359" s="4">
        <v>46227</v>
      </c>
      <c r="C359" s="3" t="s">
        <v>30</v>
      </c>
      <c r="D359" s="3" t="s">
        <v>19</v>
      </c>
      <c r="E359" s="3" t="s">
        <v>31</v>
      </c>
      <c r="F359" s="3">
        <v>634</v>
      </c>
      <c r="G359" s="3">
        <v>622</v>
      </c>
      <c r="H359" s="3">
        <v>12</v>
      </c>
      <c r="I359" s="5">
        <f t="shared" si="30"/>
        <v>1.8927444794952682E-2</v>
      </c>
      <c r="J359" s="6">
        <f t="shared" si="35"/>
        <v>18927.44479495268</v>
      </c>
      <c r="K359" s="7">
        <v>0.55000000000000004</v>
      </c>
      <c r="L359" s="3">
        <v>406</v>
      </c>
      <c r="M359" s="3">
        <v>450</v>
      </c>
      <c r="N359" s="3">
        <v>44</v>
      </c>
      <c r="O359" s="5">
        <f t="shared" si="31"/>
        <v>0.90222222222222226</v>
      </c>
      <c r="P359" s="5">
        <f t="shared" si="32"/>
        <v>0.85886699507389175</v>
      </c>
      <c r="Q359" s="5">
        <f t="shared" si="33"/>
        <v>0.98107255520504733</v>
      </c>
      <c r="R359" s="5">
        <f t="shared" si="34"/>
        <v>0.76022222222222235</v>
      </c>
    </row>
    <row r="360" spans="1:18" x14ac:dyDescent="0.25">
      <c r="A360" s="3">
        <v>356</v>
      </c>
      <c r="B360" s="4">
        <v>46227</v>
      </c>
      <c r="C360" s="3" t="s">
        <v>30</v>
      </c>
      <c r="D360" s="3" t="s">
        <v>21</v>
      </c>
      <c r="E360" s="3" t="s">
        <v>26</v>
      </c>
      <c r="F360" s="3">
        <v>794</v>
      </c>
      <c r="G360" s="3">
        <v>783</v>
      </c>
      <c r="H360" s="3">
        <v>11</v>
      </c>
      <c r="I360" s="5">
        <f t="shared" si="30"/>
        <v>1.3853904282115869E-2</v>
      </c>
      <c r="J360" s="6">
        <f t="shared" si="35"/>
        <v>13853.904282115869</v>
      </c>
      <c r="K360" s="7">
        <v>0.43</v>
      </c>
      <c r="L360" s="3">
        <v>393</v>
      </c>
      <c r="M360" s="3">
        <v>450</v>
      </c>
      <c r="N360" s="3">
        <v>57</v>
      </c>
      <c r="O360" s="5">
        <f t="shared" si="31"/>
        <v>0.87333333333333329</v>
      </c>
      <c r="P360" s="5">
        <f t="shared" si="32"/>
        <v>0.8687531806615777</v>
      </c>
      <c r="Q360" s="5">
        <f t="shared" si="33"/>
        <v>0.98614609571788414</v>
      </c>
      <c r="R360" s="5">
        <f t="shared" si="34"/>
        <v>0.74819999999999998</v>
      </c>
    </row>
    <row r="361" spans="1:18" x14ac:dyDescent="0.25">
      <c r="A361" s="3">
        <v>357</v>
      </c>
      <c r="B361" s="4">
        <v>46227</v>
      </c>
      <c r="C361" s="3" t="s">
        <v>30</v>
      </c>
      <c r="D361" s="3" t="s">
        <v>23</v>
      </c>
      <c r="E361" s="3" t="s">
        <v>35</v>
      </c>
      <c r="F361" s="3">
        <v>339</v>
      </c>
      <c r="G361" s="3">
        <v>325</v>
      </c>
      <c r="H361" s="3">
        <v>14</v>
      </c>
      <c r="I361" s="5">
        <f t="shared" si="30"/>
        <v>4.1297935103244837E-2</v>
      </c>
      <c r="J361" s="6">
        <f t="shared" si="35"/>
        <v>41297.935103244839</v>
      </c>
      <c r="K361" s="7">
        <v>1.24</v>
      </c>
      <c r="L361" s="3">
        <v>420</v>
      </c>
      <c r="M361" s="3">
        <v>450</v>
      </c>
      <c r="N361" s="3">
        <v>30</v>
      </c>
      <c r="O361" s="5">
        <f t="shared" si="31"/>
        <v>0.93333333333333335</v>
      </c>
      <c r="P361" s="5">
        <f t="shared" si="32"/>
        <v>1.0008571428571429</v>
      </c>
      <c r="Q361" s="5">
        <f t="shared" si="33"/>
        <v>0.95870206489675514</v>
      </c>
      <c r="R361" s="5">
        <f t="shared" si="34"/>
        <v>0.89555555555555555</v>
      </c>
    </row>
    <row r="362" spans="1:18" x14ac:dyDescent="0.25">
      <c r="A362" s="3">
        <v>358</v>
      </c>
      <c r="B362" s="4">
        <v>46227</v>
      </c>
      <c r="C362" s="3" t="s">
        <v>33</v>
      </c>
      <c r="D362" s="3" t="s">
        <v>19</v>
      </c>
      <c r="E362" s="3" t="s">
        <v>26</v>
      </c>
      <c r="F362" s="3">
        <v>712</v>
      </c>
      <c r="G362" s="3">
        <v>706</v>
      </c>
      <c r="H362" s="3">
        <v>6</v>
      </c>
      <c r="I362" s="5">
        <f t="shared" si="30"/>
        <v>8.4269662921348312E-3</v>
      </c>
      <c r="J362" s="6">
        <f t="shared" si="35"/>
        <v>8426.9662921348317</v>
      </c>
      <c r="K362" s="7">
        <v>0.49</v>
      </c>
      <c r="L362" s="3">
        <v>433</v>
      </c>
      <c r="M362" s="3">
        <v>450</v>
      </c>
      <c r="N362" s="3">
        <v>17</v>
      </c>
      <c r="O362" s="5">
        <f t="shared" si="31"/>
        <v>0.9622222222222222</v>
      </c>
      <c r="P362" s="5">
        <f t="shared" si="32"/>
        <v>0.80572748267898386</v>
      </c>
      <c r="Q362" s="5">
        <f t="shared" si="33"/>
        <v>0.9915730337078652</v>
      </c>
      <c r="R362" s="5">
        <f t="shared" si="34"/>
        <v>0.76875555555555564</v>
      </c>
    </row>
    <row r="363" spans="1:18" x14ac:dyDescent="0.25">
      <c r="A363" s="3">
        <v>359</v>
      </c>
      <c r="B363" s="4">
        <v>46227</v>
      </c>
      <c r="C363" s="3" t="s">
        <v>33</v>
      </c>
      <c r="D363" s="3" t="s">
        <v>21</v>
      </c>
      <c r="E363" s="3" t="s">
        <v>24</v>
      </c>
      <c r="F363" s="3">
        <v>334</v>
      </c>
      <c r="G363" s="3">
        <v>322</v>
      </c>
      <c r="H363" s="3">
        <v>12</v>
      </c>
      <c r="I363" s="5">
        <f t="shared" si="30"/>
        <v>3.5928143712574849E-2</v>
      </c>
      <c r="J363" s="6">
        <f t="shared" si="35"/>
        <v>35928.143712574849</v>
      </c>
      <c r="K363" s="7">
        <v>1.25</v>
      </c>
      <c r="L363" s="3">
        <v>421</v>
      </c>
      <c r="M363" s="3">
        <v>450</v>
      </c>
      <c r="N363" s="3">
        <v>29</v>
      </c>
      <c r="O363" s="5">
        <f t="shared" si="31"/>
        <v>0.93555555555555558</v>
      </c>
      <c r="P363" s="5">
        <f t="shared" si="32"/>
        <v>0.99168646080760092</v>
      </c>
      <c r="Q363" s="5">
        <f t="shared" si="33"/>
        <v>0.9640718562874252</v>
      </c>
      <c r="R363" s="5">
        <f t="shared" si="34"/>
        <v>0.89444444444444449</v>
      </c>
    </row>
    <row r="364" spans="1:18" x14ac:dyDescent="0.25">
      <c r="A364" s="3">
        <v>360</v>
      </c>
      <c r="B364" s="4">
        <v>46227</v>
      </c>
      <c r="C364" s="3" t="s">
        <v>33</v>
      </c>
      <c r="D364" s="3" t="s">
        <v>23</v>
      </c>
      <c r="E364" s="3" t="s">
        <v>29</v>
      </c>
      <c r="F364" s="3">
        <v>259</v>
      </c>
      <c r="G364" s="3">
        <v>247</v>
      </c>
      <c r="H364" s="3">
        <v>12</v>
      </c>
      <c r="I364" s="5">
        <f t="shared" si="30"/>
        <v>4.633204633204633E-2</v>
      </c>
      <c r="J364" s="6">
        <f t="shared" si="35"/>
        <v>46332.046332046331</v>
      </c>
      <c r="K364" s="7">
        <v>1.54</v>
      </c>
      <c r="L364" s="3">
        <v>438</v>
      </c>
      <c r="M364" s="3">
        <v>450</v>
      </c>
      <c r="N364" s="3">
        <v>12</v>
      </c>
      <c r="O364" s="5">
        <f t="shared" si="31"/>
        <v>0.97333333333333338</v>
      </c>
      <c r="P364" s="5">
        <f t="shared" si="32"/>
        <v>0.91063926940639273</v>
      </c>
      <c r="Q364" s="5">
        <f t="shared" si="33"/>
        <v>0.95366795366795365</v>
      </c>
      <c r="R364" s="5">
        <f t="shared" si="34"/>
        <v>0.84528888888888898</v>
      </c>
    </row>
    <row r="365" spans="1:18" x14ac:dyDescent="0.25">
      <c r="A365" s="3">
        <v>361</v>
      </c>
      <c r="B365" s="4">
        <v>46228</v>
      </c>
      <c r="C365" s="3" t="s">
        <v>18</v>
      </c>
      <c r="D365" s="3" t="s">
        <v>19</v>
      </c>
      <c r="E365" s="3" t="s">
        <v>34</v>
      </c>
      <c r="F365" s="3">
        <v>909</v>
      </c>
      <c r="G365" s="3">
        <v>870</v>
      </c>
      <c r="H365" s="3">
        <v>39</v>
      </c>
      <c r="I365" s="5">
        <f t="shared" si="30"/>
        <v>4.2904290429042903E-2</v>
      </c>
      <c r="J365" s="6">
        <f t="shared" si="35"/>
        <v>42904.2904290429</v>
      </c>
      <c r="K365" s="7">
        <v>0.41</v>
      </c>
      <c r="L365" s="3">
        <v>433</v>
      </c>
      <c r="M365" s="3">
        <v>450</v>
      </c>
      <c r="N365" s="3">
        <v>17</v>
      </c>
      <c r="O365" s="5">
        <f t="shared" si="31"/>
        <v>0.9622222222222222</v>
      </c>
      <c r="P365" s="5">
        <f t="shared" si="32"/>
        <v>0.86071593533487301</v>
      </c>
      <c r="Q365" s="5">
        <f t="shared" si="33"/>
        <v>0.95709570957095713</v>
      </c>
      <c r="R365" s="5">
        <f t="shared" si="34"/>
        <v>0.79266666666666674</v>
      </c>
    </row>
    <row r="366" spans="1:18" x14ac:dyDescent="0.25">
      <c r="A366" s="3">
        <v>362</v>
      </c>
      <c r="B366" s="4">
        <v>46228</v>
      </c>
      <c r="C366" s="3" t="s">
        <v>18</v>
      </c>
      <c r="D366" s="3" t="s">
        <v>21</v>
      </c>
      <c r="E366" s="3" t="s">
        <v>24</v>
      </c>
      <c r="F366" s="3">
        <v>347</v>
      </c>
      <c r="G366" s="3">
        <v>343</v>
      </c>
      <c r="H366" s="3">
        <v>4</v>
      </c>
      <c r="I366" s="5">
        <f t="shared" si="30"/>
        <v>1.1527377521613832E-2</v>
      </c>
      <c r="J366" s="6">
        <f t="shared" si="35"/>
        <v>11527.377521613833</v>
      </c>
      <c r="K366" s="7">
        <v>1.19</v>
      </c>
      <c r="L366" s="3">
        <v>421</v>
      </c>
      <c r="M366" s="3">
        <v>450</v>
      </c>
      <c r="N366" s="3">
        <v>29</v>
      </c>
      <c r="O366" s="5">
        <f t="shared" si="31"/>
        <v>0.93555555555555558</v>
      </c>
      <c r="P366" s="5">
        <f t="shared" si="32"/>
        <v>0.98083135391923992</v>
      </c>
      <c r="Q366" s="5">
        <f t="shared" si="33"/>
        <v>0.98847262247838619</v>
      </c>
      <c r="R366" s="5">
        <f t="shared" si="34"/>
        <v>0.90704444444444443</v>
      </c>
    </row>
    <row r="367" spans="1:18" x14ac:dyDescent="0.25">
      <c r="A367" s="3">
        <v>363</v>
      </c>
      <c r="B367" s="4">
        <v>46228</v>
      </c>
      <c r="C367" s="3" t="s">
        <v>18</v>
      </c>
      <c r="D367" s="3" t="s">
        <v>23</v>
      </c>
      <c r="E367" s="3" t="s">
        <v>22</v>
      </c>
      <c r="F367" s="3">
        <v>217</v>
      </c>
      <c r="G367" s="3">
        <v>208</v>
      </c>
      <c r="H367" s="3">
        <v>9</v>
      </c>
      <c r="I367" s="5">
        <f t="shared" si="30"/>
        <v>4.1474654377880185E-2</v>
      </c>
      <c r="J367" s="6">
        <f t="shared" si="35"/>
        <v>41474.654377880186</v>
      </c>
      <c r="K367" s="7">
        <v>1.77</v>
      </c>
      <c r="L367" s="3">
        <v>426</v>
      </c>
      <c r="M367" s="3">
        <v>450</v>
      </c>
      <c r="N367" s="3">
        <v>24</v>
      </c>
      <c r="O367" s="5">
        <f t="shared" si="31"/>
        <v>0.94666666666666666</v>
      </c>
      <c r="P367" s="5">
        <f t="shared" si="32"/>
        <v>0.90161971830985921</v>
      </c>
      <c r="Q367" s="5">
        <f t="shared" si="33"/>
        <v>0.95852534562211977</v>
      </c>
      <c r="R367" s="5">
        <f t="shared" si="34"/>
        <v>0.81813333333333338</v>
      </c>
    </row>
    <row r="368" spans="1:18" x14ac:dyDescent="0.25">
      <c r="A368" s="3">
        <v>364</v>
      </c>
      <c r="B368" s="4">
        <v>46228</v>
      </c>
      <c r="C368" s="3" t="s">
        <v>25</v>
      </c>
      <c r="D368" s="3" t="s">
        <v>19</v>
      </c>
      <c r="E368" s="3" t="s">
        <v>20</v>
      </c>
      <c r="F368" s="3">
        <v>405</v>
      </c>
      <c r="G368" s="3">
        <v>394</v>
      </c>
      <c r="H368" s="3">
        <v>11</v>
      </c>
      <c r="I368" s="5">
        <f t="shared" si="30"/>
        <v>2.7160493827160494E-2</v>
      </c>
      <c r="J368" s="6">
        <f t="shared" si="35"/>
        <v>27160.493827160495</v>
      </c>
      <c r="K368" s="7">
        <v>0.9</v>
      </c>
      <c r="L368" s="3">
        <v>415</v>
      </c>
      <c r="M368" s="3">
        <v>450</v>
      </c>
      <c r="N368" s="3">
        <v>35</v>
      </c>
      <c r="O368" s="5">
        <f t="shared" si="31"/>
        <v>0.92222222222222228</v>
      </c>
      <c r="P368" s="5">
        <f t="shared" si="32"/>
        <v>0.87831325301204821</v>
      </c>
      <c r="Q368" s="5">
        <f t="shared" si="33"/>
        <v>0.97283950617283954</v>
      </c>
      <c r="R368" s="5">
        <f t="shared" si="34"/>
        <v>0.78800000000000003</v>
      </c>
    </row>
    <row r="369" spans="1:18" x14ac:dyDescent="0.25">
      <c r="A369" s="3">
        <v>365</v>
      </c>
      <c r="B369" s="4">
        <v>46228</v>
      </c>
      <c r="C369" s="3" t="s">
        <v>25</v>
      </c>
      <c r="D369" s="3" t="s">
        <v>21</v>
      </c>
      <c r="E369" s="3" t="s">
        <v>32</v>
      </c>
      <c r="F369" s="3">
        <v>622</v>
      </c>
      <c r="G369" s="3">
        <v>617</v>
      </c>
      <c r="H369" s="3">
        <v>5</v>
      </c>
      <c r="I369" s="5">
        <f t="shared" si="30"/>
        <v>8.0385852090032149E-3</v>
      </c>
      <c r="J369" s="6">
        <f t="shared" si="35"/>
        <v>8038.5852090032149</v>
      </c>
      <c r="K369" s="7">
        <v>0.54</v>
      </c>
      <c r="L369" s="3">
        <v>406</v>
      </c>
      <c r="M369" s="3">
        <v>450</v>
      </c>
      <c r="N369" s="3">
        <v>44</v>
      </c>
      <c r="O369" s="5">
        <f t="shared" si="31"/>
        <v>0.90222222222222226</v>
      </c>
      <c r="P369" s="5">
        <f t="shared" si="32"/>
        <v>0.82729064039408862</v>
      </c>
      <c r="Q369" s="5">
        <f t="shared" si="33"/>
        <v>0.99196141479099675</v>
      </c>
      <c r="R369" s="5">
        <f t="shared" si="34"/>
        <v>0.74039999999999995</v>
      </c>
    </row>
    <row r="370" spans="1:18" x14ac:dyDescent="0.25">
      <c r="A370" s="3">
        <v>366</v>
      </c>
      <c r="B370" s="4">
        <v>46228</v>
      </c>
      <c r="C370" s="3" t="s">
        <v>25</v>
      </c>
      <c r="D370" s="3" t="s">
        <v>23</v>
      </c>
      <c r="E370" s="3" t="s">
        <v>24</v>
      </c>
      <c r="F370" s="3">
        <v>245</v>
      </c>
      <c r="G370" s="3">
        <v>241</v>
      </c>
      <c r="H370" s="3">
        <v>4</v>
      </c>
      <c r="I370" s="5">
        <f t="shared" si="30"/>
        <v>1.6326530612244899E-2</v>
      </c>
      <c r="J370" s="6">
        <f t="shared" si="35"/>
        <v>16326.5306122449</v>
      </c>
      <c r="K370" s="7">
        <v>1.61</v>
      </c>
      <c r="L370" s="3">
        <v>426</v>
      </c>
      <c r="M370" s="3">
        <v>450</v>
      </c>
      <c r="N370" s="3">
        <v>24</v>
      </c>
      <c r="O370" s="5">
        <f t="shared" si="31"/>
        <v>0.94666666666666666</v>
      </c>
      <c r="P370" s="5">
        <f t="shared" si="32"/>
        <v>0.92593896713615031</v>
      </c>
      <c r="Q370" s="5">
        <f t="shared" si="33"/>
        <v>0.98367346938775513</v>
      </c>
      <c r="R370" s="5">
        <f t="shared" si="34"/>
        <v>0.86224444444444459</v>
      </c>
    </row>
    <row r="371" spans="1:18" x14ac:dyDescent="0.25">
      <c r="A371" s="3">
        <v>367</v>
      </c>
      <c r="B371" s="4">
        <v>46228</v>
      </c>
      <c r="C371" s="3" t="s">
        <v>28</v>
      </c>
      <c r="D371" s="3" t="s">
        <v>19</v>
      </c>
      <c r="E371" s="3" t="s">
        <v>22</v>
      </c>
      <c r="F371" s="3">
        <v>418</v>
      </c>
      <c r="G371" s="3">
        <v>400</v>
      </c>
      <c r="H371" s="3">
        <v>18</v>
      </c>
      <c r="I371" s="5">
        <f t="shared" si="30"/>
        <v>4.3062200956937802E-2</v>
      </c>
      <c r="J371" s="6">
        <f t="shared" si="35"/>
        <v>43062.200956937799</v>
      </c>
      <c r="K371" s="7">
        <v>0.94</v>
      </c>
      <c r="L371" s="3">
        <v>419</v>
      </c>
      <c r="M371" s="3">
        <v>450</v>
      </c>
      <c r="N371" s="3">
        <v>31</v>
      </c>
      <c r="O371" s="5">
        <f t="shared" si="31"/>
        <v>0.93111111111111111</v>
      </c>
      <c r="P371" s="5">
        <f t="shared" si="32"/>
        <v>0.93775656324582324</v>
      </c>
      <c r="Q371" s="5">
        <f t="shared" si="33"/>
        <v>0.9569377990430622</v>
      </c>
      <c r="R371" s="5">
        <f t="shared" si="34"/>
        <v>0.8355555555555555</v>
      </c>
    </row>
    <row r="372" spans="1:18" x14ac:dyDescent="0.25">
      <c r="A372" s="3">
        <v>368</v>
      </c>
      <c r="B372" s="4">
        <v>46228</v>
      </c>
      <c r="C372" s="3" t="s">
        <v>28</v>
      </c>
      <c r="D372" s="3" t="s">
        <v>21</v>
      </c>
      <c r="E372" s="3" t="s">
        <v>22</v>
      </c>
      <c r="F372" s="3">
        <v>216</v>
      </c>
      <c r="G372" s="3">
        <v>212</v>
      </c>
      <c r="H372" s="3">
        <v>4</v>
      </c>
      <c r="I372" s="5">
        <f t="shared" si="30"/>
        <v>1.8518518518518517E-2</v>
      </c>
      <c r="J372" s="6">
        <f t="shared" si="35"/>
        <v>18518.518518518518</v>
      </c>
      <c r="K372" s="7">
        <v>1.7</v>
      </c>
      <c r="L372" s="3">
        <v>419</v>
      </c>
      <c r="M372" s="3">
        <v>450</v>
      </c>
      <c r="N372" s="3">
        <v>31</v>
      </c>
      <c r="O372" s="5">
        <f t="shared" si="31"/>
        <v>0.93111111111111111</v>
      </c>
      <c r="P372" s="5">
        <f t="shared" si="32"/>
        <v>0.87637231503579949</v>
      </c>
      <c r="Q372" s="5">
        <f t="shared" si="33"/>
        <v>0.98148148148148151</v>
      </c>
      <c r="R372" s="5">
        <f t="shared" si="34"/>
        <v>0.80088888888888887</v>
      </c>
    </row>
    <row r="373" spans="1:18" x14ac:dyDescent="0.25">
      <c r="A373" s="3">
        <v>369</v>
      </c>
      <c r="B373" s="4">
        <v>46228</v>
      </c>
      <c r="C373" s="3" t="s">
        <v>28</v>
      </c>
      <c r="D373" s="3" t="s">
        <v>23</v>
      </c>
      <c r="E373" s="3" t="s">
        <v>35</v>
      </c>
      <c r="F373" s="3">
        <v>345</v>
      </c>
      <c r="G373" s="3">
        <v>334</v>
      </c>
      <c r="H373" s="3">
        <v>11</v>
      </c>
      <c r="I373" s="5">
        <f t="shared" si="30"/>
        <v>3.1884057971014491E-2</v>
      </c>
      <c r="J373" s="6">
        <f t="shared" si="35"/>
        <v>31884.057971014492</v>
      </c>
      <c r="K373" s="7">
        <v>1</v>
      </c>
      <c r="L373" s="3">
        <v>386</v>
      </c>
      <c r="M373" s="3">
        <v>450</v>
      </c>
      <c r="N373" s="3">
        <v>64</v>
      </c>
      <c r="O373" s="5">
        <f t="shared" si="31"/>
        <v>0.85777777777777775</v>
      </c>
      <c r="P373" s="5">
        <f t="shared" si="32"/>
        <v>0.89378238341968907</v>
      </c>
      <c r="Q373" s="5">
        <f t="shared" si="33"/>
        <v>0.96811594202898554</v>
      </c>
      <c r="R373" s="5">
        <f t="shared" si="34"/>
        <v>0.74222222222222223</v>
      </c>
    </row>
    <row r="374" spans="1:18" x14ac:dyDescent="0.25">
      <c r="A374" s="3">
        <v>370</v>
      </c>
      <c r="B374" s="4">
        <v>46228</v>
      </c>
      <c r="C374" s="3" t="s">
        <v>30</v>
      </c>
      <c r="D374" s="3" t="s">
        <v>19</v>
      </c>
      <c r="E374" s="3" t="s">
        <v>27</v>
      </c>
      <c r="F374" s="3">
        <v>307</v>
      </c>
      <c r="G374" s="3">
        <v>302</v>
      </c>
      <c r="H374" s="3">
        <v>5</v>
      </c>
      <c r="I374" s="5">
        <f t="shared" si="30"/>
        <v>1.6286644951140065E-2</v>
      </c>
      <c r="J374" s="6">
        <f t="shared" si="35"/>
        <v>16286.644951140066</v>
      </c>
      <c r="K374" s="7">
        <v>1.1499999999999999</v>
      </c>
      <c r="L374" s="3">
        <v>411</v>
      </c>
      <c r="M374" s="3">
        <v>450</v>
      </c>
      <c r="N374" s="3">
        <v>39</v>
      </c>
      <c r="O374" s="5">
        <f t="shared" si="31"/>
        <v>0.91333333333333333</v>
      </c>
      <c r="P374" s="5">
        <f t="shared" si="32"/>
        <v>0.85900243309002422</v>
      </c>
      <c r="Q374" s="5">
        <f t="shared" si="33"/>
        <v>0.98371335504885993</v>
      </c>
      <c r="R374" s="5">
        <f t="shared" si="34"/>
        <v>0.77177777777777767</v>
      </c>
    </row>
    <row r="375" spans="1:18" x14ac:dyDescent="0.25">
      <c r="A375" s="3">
        <v>371</v>
      </c>
      <c r="B375" s="4">
        <v>46228</v>
      </c>
      <c r="C375" s="3" t="s">
        <v>30</v>
      </c>
      <c r="D375" s="3" t="s">
        <v>21</v>
      </c>
      <c r="E375" s="3" t="s">
        <v>24</v>
      </c>
      <c r="F375" s="3">
        <v>376</v>
      </c>
      <c r="G375" s="3">
        <v>363</v>
      </c>
      <c r="H375" s="3">
        <v>13</v>
      </c>
      <c r="I375" s="5">
        <f t="shared" si="30"/>
        <v>3.4574468085106384E-2</v>
      </c>
      <c r="J375" s="6">
        <f t="shared" si="35"/>
        <v>34574.468085106382</v>
      </c>
      <c r="K375" s="7">
        <v>0.9</v>
      </c>
      <c r="L375" s="3">
        <v>413</v>
      </c>
      <c r="M375" s="3">
        <v>450</v>
      </c>
      <c r="N375" s="3">
        <v>37</v>
      </c>
      <c r="O375" s="5">
        <f t="shared" si="31"/>
        <v>0.9177777777777778</v>
      </c>
      <c r="P375" s="5">
        <f t="shared" si="32"/>
        <v>0.81937046004842629</v>
      </c>
      <c r="Q375" s="5">
        <f t="shared" si="33"/>
        <v>0.96542553191489366</v>
      </c>
      <c r="R375" s="5">
        <f t="shared" si="34"/>
        <v>0.72600000000000009</v>
      </c>
    </row>
    <row r="376" spans="1:18" x14ac:dyDescent="0.25">
      <c r="A376" s="3">
        <v>372</v>
      </c>
      <c r="B376" s="4">
        <v>46228</v>
      </c>
      <c r="C376" s="3" t="s">
        <v>30</v>
      </c>
      <c r="D376" s="3" t="s">
        <v>23</v>
      </c>
      <c r="E376" s="3" t="s">
        <v>27</v>
      </c>
      <c r="F376" s="3">
        <v>403</v>
      </c>
      <c r="G376" s="3">
        <v>392</v>
      </c>
      <c r="H376" s="3">
        <v>11</v>
      </c>
      <c r="I376" s="5">
        <f t="shared" si="30"/>
        <v>2.729528535980149E-2</v>
      </c>
      <c r="J376" s="6">
        <f t="shared" si="35"/>
        <v>27295.285359801488</v>
      </c>
      <c r="K376" s="7">
        <v>0.91</v>
      </c>
      <c r="L376" s="3">
        <v>440</v>
      </c>
      <c r="M376" s="3">
        <v>450</v>
      </c>
      <c r="N376" s="3">
        <v>10</v>
      </c>
      <c r="O376" s="5">
        <f t="shared" si="31"/>
        <v>0.97777777777777775</v>
      </c>
      <c r="P376" s="5">
        <f t="shared" si="32"/>
        <v>0.83347727272727279</v>
      </c>
      <c r="Q376" s="5">
        <f t="shared" si="33"/>
        <v>0.97270471464019848</v>
      </c>
      <c r="R376" s="5">
        <f t="shared" si="34"/>
        <v>0.79271111111111103</v>
      </c>
    </row>
    <row r="377" spans="1:18" x14ac:dyDescent="0.25">
      <c r="A377" s="3">
        <v>373</v>
      </c>
      <c r="B377" s="4">
        <v>46228</v>
      </c>
      <c r="C377" s="3" t="s">
        <v>33</v>
      </c>
      <c r="D377" s="3" t="s">
        <v>19</v>
      </c>
      <c r="E377" s="3" t="s">
        <v>34</v>
      </c>
      <c r="F377" s="3">
        <v>281</v>
      </c>
      <c r="G377" s="3">
        <v>269</v>
      </c>
      <c r="H377" s="3">
        <v>12</v>
      </c>
      <c r="I377" s="5">
        <f t="shared" si="30"/>
        <v>4.2704626334519574E-2</v>
      </c>
      <c r="J377" s="6">
        <f t="shared" si="35"/>
        <v>42704.626334519577</v>
      </c>
      <c r="K377" s="7">
        <v>1.45</v>
      </c>
      <c r="L377" s="3">
        <v>413</v>
      </c>
      <c r="M377" s="3">
        <v>450</v>
      </c>
      <c r="N377" s="3">
        <v>37</v>
      </c>
      <c r="O377" s="5">
        <f t="shared" si="31"/>
        <v>0.9177777777777778</v>
      </c>
      <c r="P377" s="5">
        <f t="shared" si="32"/>
        <v>0.98656174334140434</v>
      </c>
      <c r="Q377" s="5">
        <f t="shared" si="33"/>
        <v>0.95729537366548045</v>
      </c>
      <c r="R377" s="5">
        <f t="shared" si="34"/>
        <v>0.86677777777777787</v>
      </c>
    </row>
    <row r="378" spans="1:18" x14ac:dyDescent="0.25">
      <c r="A378" s="3">
        <v>374</v>
      </c>
      <c r="B378" s="4">
        <v>46228</v>
      </c>
      <c r="C378" s="3" t="s">
        <v>33</v>
      </c>
      <c r="D378" s="3" t="s">
        <v>21</v>
      </c>
      <c r="E378" s="3" t="s">
        <v>29</v>
      </c>
      <c r="F378" s="3">
        <v>333</v>
      </c>
      <c r="G378" s="3">
        <v>331</v>
      </c>
      <c r="H378" s="3">
        <v>2</v>
      </c>
      <c r="I378" s="5">
        <f t="shared" si="30"/>
        <v>6.006006006006006E-3</v>
      </c>
      <c r="J378" s="6">
        <f t="shared" si="35"/>
        <v>6006.0060060060059</v>
      </c>
      <c r="K378" s="7">
        <v>1.22</v>
      </c>
      <c r="L378" s="3">
        <v>430</v>
      </c>
      <c r="M378" s="3">
        <v>450</v>
      </c>
      <c r="N378" s="3">
        <v>20</v>
      </c>
      <c r="O378" s="5">
        <f t="shared" si="31"/>
        <v>0.9555555555555556</v>
      </c>
      <c r="P378" s="5">
        <f t="shared" si="32"/>
        <v>0.94479069767441859</v>
      </c>
      <c r="Q378" s="5">
        <f t="shared" si="33"/>
        <v>0.99399399399399402</v>
      </c>
      <c r="R378" s="5">
        <f t="shared" si="34"/>
        <v>0.89737777777777783</v>
      </c>
    </row>
    <row r="379" spans="1:18" x14ac:dyDescent="0.25">
      <c r="A379" s="3">
        <v>375</v>
      </c>
      <c r="B379" s="4">
        <v>46228</v>
      </c>
      <c r="C379" s="3" t="s">
        <v>33</v>
      </c>
      <c r="D379" s="3" t="s">
        <v>23</v>
      </c>
      <c r="E379" s="3" t="s">
        <v>32</v>
      </c>
      <c r="F379" s="3">
        <v>231</v>
      </c>
      <c r="G379" s="3">
        <v>225</v>
      </c>
      <c r="H379" s="3">
        <v>6</v>
      </c>
      <c r="I379" s="5">
        <f t="shared" si="30"/>
        <v>2.5974025974025976E-2</v>
      </c>
      <c r="J379" s="6">
        <f t="shared" si="35"/>
        <v>25974.025974025975</v>
      </c>
      <c r="K379" s="7">
        <v>1.72</v>
      </c>
      <c r="L379" s="3">
        <v>394</v>
      </c>
      <c r="M379" s="3">
        <v>450</v>
      </c>
      <c r="N379" s="3">
        <v>56</v>
      </c>
      <c r="O379" s="5">
        <f t="shared" si="31"/>
        <v>0.87555555555555553</v>
      </c>
      <c r="P379" s="5">
        <f t="shared" si="32"/>
        <v>1.0084263959390862</v>
      </c>
      <c r="Q379" s="5">
        <f t="shared" si="33"/>
        <v>0.97402597402597402</v>
      </c>
      <c r="R379" s="5">
        <f t="shared" si="34"/>
        <v>0.85999999999999988</v>
      </c>
    </row>
    <row r="380" spans="1:18" x14ac:dyDescent="0.25">
      <c r="A380" s="3">
        <v>376</v>
      </c>
      <c r="B380" s="4">
        <v>46229</v>
      </c>
      <c r="C380" s="3" t="s">
        <v>18</v>
      </c>
      <c r="D380" s="3" t="s">
        <v>19</v>
      </c>
      <c r="E380" s="3" t="s">
        <v>29</v>
      </c>
      <c r="F380" s="3">
        <v>925</v>
      </c>
      <c r="G380" s="3">
        <v>896</v>
      </c>
      <c r="H380" s="3">
        <v>29</v>
      </c>
      <c r="I380" s="5">
        <f t="shared" si="30"/>
        <v>3.135135135135135E-2</v>
      </c>
      <c r="J380" s="6">
        <f t="shared" si="35"/>
        <v>31351.35135135135</v>
      </c>
      <c r="K380" s="7">
        <v>0.36</v>
      </c>
      <c r="L380" s="3">
        <v>422</v>
      </c>
      <c r="M380" s="3">
        <v>450</v>
      </c>
      <c r="N380" s="3">
        <v>28</v>
      </c>
      <c r="O380" s="5">
        <f t="shared" si="31"/>
        <v>0.93777777777777782</v>
      </c>
      <c r="P380" s="5">
        <f t="shared" si="32"/>
        <v>0.7890995260663507</v>
      </c>
      <c r="Q380" s="5">
        <f t="shared" si="33"/>
        <v>0.96864864864864864</v>
      </c>
      <c r="R380" s="5">
        <f t="shared" si="34"/>
        <v>0.71679999999999999</v>
      </c>
    </row>
    <row r="381" spans="1:18" x14ac:dyDescent="0.25">
      <c r="A381" s="3">
        <v>377</v>
      </c>
      <c r="B381" s="4">
        <v>46229</v>
      </c>
      <c r="C381" s="3" t="s">
        <v>18</v>
      </c>
      <c r="D381" s="3" t="s">
        <v>21</v>
      </c>
      <c r="E381" s="3" t="s">
        <v>22</v>
      </c>
      <c r="F381" s="3">
        <v>363</v>
      </c>
      <c r="G381" s="3">
        <v>349</v>
      </c>
      <c r="H381" s="3">
        <v>14</v>
      </c>
      <c r="I381" s="5">
        <f t="shared" si="30"/>
        <v>3.8567493112947659E-2</v>
      </c>
      <c r="J381" s="6">
        <f t="shared" si="35"/>
        <v>38567.493112947661</v>
      </c>
      <c r="K381" s="7">
        <v>1.17</v>
      </c>
      <c r="L381" s="3">
        <v>440</v>
      </c>
      <c r="M381" s="3">
        <v>450</v>
      </c>
      <c r="N381" s="3">
        <v>10</v>
      </c>
      <c r="O381" s="5">
        <f t="shared" si="31"/>
        <v>0.97777777777777775</v>
      </c>
      <c r="P381" s="5">
        <f t="shared" si="32"/>
        <v>0.96524999999999994</v>
      </c>
      <c r="Q381" s="5">
        <f t="shared" si="33"/>
        <v>0.9614325068870524</v>
      </c>
      <c r="R381" s="5">
        <f t="shared" si="34"/>
        <v>0.90739999999999987</v>
      </c>
    </row>
    <row r="382" spans="1:18" x14ac:dyDescent="0.25">
      <c r="A382" s="3">
        <v>378</v>
      </c>
      <c r="B382" s="4">
        <v>46229</v>
      </c>
      <c r="C382" s="3" t="s">
        <v>18</v>
      </c>
      <c r="D382" s="3" t="s">
        <v>23</v>
      </c>
      <c r="E382" s="3" t="s">
        <v>20</v>
      </c>
      <c r="F382" s="3">
        <v>371</v>
      </c>
      <c r="G382" s="3">
        <v>370</v>
      </c>
      <c r="H382" s="3">
        <v>1</v>
      </c>
      <c r="I382" s="5">
        <f t="shared" si="30"/>
        <v>2.6954177897574125E-3</v>
      </c>
      <c r="J382" s="6">
        <f t="shared" si="35"/>
        <v>2695.4177897574127</v>
      </c>
      <c r="K382" s="7">
        <v>1.07</v>
      </c>
      <c r="L382" s="3">
        <v>444</v>
      </c>
      <c r="M382" s="3">
        <v>450</v>
      </c>
      <c r="N382" s="3">
        <v>6</v>
      </c>
      <c r="O382" s="5">
        <f t="shared" si="31"/>
        <v>0.98666666666666669</v>
      </c>
      <c r="P382" s="5">
        <f t="shared" si="32"/>
        <v>0.89407657657657669</v>
      </c>
      <c r="Q382" s="5">
        <f t="shared" si="33"/>
        <v>0.99730458221024254</v>
      </c>
      <c r="R382" s="5">
        <f t="shared" si="34"/>
        <v>0.87977777777777788</v>
      </c>
    </row>
    <row r="383" spans="1:18" x14ac:dyDescent="0.25">
      <c r="A383" s="3">
        <v>379</v>
      </c>
      <c r="B383" s="4">
        <v>46229</v>
      </c>
      <c r="C383" s="3" t="s">
        <v>25</v>
      </c>
      <c r="D383" s="3" t="s">
        <v>19</v>
      </c>
      <c r="E383" s="3" t="s">
        <v>20</v>
      </c>
      <c r="F383" s="3">
        <v>260</v>
      </c>
      <c r="G383" s="3">
        <v>255</v>
      </c>
      <c r="H383" s="3">
        <v>5</v>
      </c>
      <c r="I383" s="5">
        <f t="shared" si="30"/>
        <v>1.9230769230769232E-2</v>
      </c>
      <c r="J383" s="6">
        <f t="shared" si="35"/>
        <v>19230.76923076923</v>
      </c>
      <c r="K383" s="7">
        <v>1.49</v>
      </c>
      <c r="L383" s="3">
        <v>388</v>
      </c>
      <c r="M383" s="3">
        <v>450</v>
      </c>
      <c r="N383" s="3">
        <v>62</v>
      </c>
      <c r="O383" s="5">
        <f t="shared" si="31"/>
        <v>0.86222222222222222</v>
      </c>
      <c r="P383" s="5">
        <f t="shared" si="32"/>
        <v>0.99845360824742257</v>
      </c>
      <c r="Q383" s="5">
        <f t="shared" si="33"/>
        <v>0.98076923076923073</v>
      </c>
      <c r="R383" s="5">
        <f t="shared" si="34"/>
        <v>0.84433333333333327</v>
      </c>
    </row>
    <row r="384" spans="1:18" x14ac:dyDescent="0.25">
      <c r="A384" s="3">
        <v>380</v>
      </c>
      <c r="B384" s="4">
        <v>46229</v>
      </c>
      <c r="C384" s="3" t="s">
        <v>25</v>
      </c>
      <c r="D384" s="3" t="s">
        <v>21</v>
      </c>
      <c r="E384" s="3" t="s">
        <v>27</v>
      </c>
      <c r="F384" s="3">
        <v>307</v>
      </c>
      <c r="G384" s="3">
        <v>304</v>
      </c>
      <c r="H384" s="3">
        <v>3</v>
      </c>
      <c r="I384" s="5">
        <f t="shared" si="30"/>
        <v>9.7719869706840382E-3</v>
      </c>
      <c r="J384" s="6">
        <f t="shared" si="35"/>
        <v>9771.9869706840382</v>
      </c>
      <c r="K384" s="7">
        <v>1.17</v>
      </c>
      <c r="L384" s="3">
        <v>425</v>
      </c>
      <c r="M384" s="3">
        <v>450</v>
      </c>
      <c r="N384" s="3">
        <v>25</v>
      </c>
      <c r="O384" s="5">
        <f t="shared" si="31"/>
        <v>0.94444444444444442</v>
      </c>
      <c r="P384" s="5">
        <f t="shared" si="32"/>
        <v>0.84515294117647055</v>
      </c>
      <c r="Q384" s="5">
        <f t="shared" si="33"/>
        <v>0.99022801302931596</v>
      </c>
      <c r="R384" s="5">
        <f t="shared" si="34"/>
        <v>0.79039999999999988</v>
      </c>
    </row>
    <row r="385" spans="1:18" x14ac:dyDescent="0.25">
      <c r="A385" s="3">
        <v>381</v>
      </c>
      <c r="B385" s="4">
        <v>46229</v>
      </c>
      <c r="C385" s="3" t="s">
        <v>25</v>
      </c>
      <c r="D385" s="3" t="s">
        <v>23</v>
      </c>
      <c r="E385" s="3" t="s">
        <v>29</v>
      </c>
      <c r="F385" s="3">
        <v>271</v>
      </c>
      <c r="G385" s="3">
        <v>259</v>
      </c>
      <c r="H385" s="3">
        <v>12</v>
      </c>
      <c r="I385" s="5">
        <f t="shared" si="30"/>
        <v>4.4280442804428041E-2</v>
      </c>
      <c r="J385" s="6">
        <f t="shared" si="35"/>
        <v>44280.442804428043</v>
      </c>
      <c r="K385" s="7">
        <v>1.47</v>
      </c>
      <c r="L385" s="3">
        <v>436</v>
      </c>
      <c r="M385" s="3">
        <v>450</v>
      </c>
      <c r="N385" s="3">
        <v>14</v>
      </c>
      <c r="O385" s="5">
        <f t="shared" si="31"/>
        <v>0.96888888888888891</v>
      </c>
      <c r="P385" s="5">
        <f t="shared" si="32"/>
        <v>0.91369266055045872</v>
      </c>
      <c r="Q385" s="5">
        <f t="shared" si="33"/>
        <v>0.955719557195572</v>
      </c>
      <c r="R385" s="5">
        <f t="shared" si="34"/>
        <v>0.84606666666666663</v>
      </c>
    </row>
    <row r="386" spans="1:18" x14ac:dyDescent="0.25">
      <c r="A386" s="3">
        <v>382</v>
      </c>
      <c r="B386" s="4">
        <v>46229</v>
      </c>
      <c r="C386" s="3" t="s">
        <v>28</v>
      </c>
      <c r="D386" s="3" t="s">
        <v>19</v>
      </c>
      <c r="E386" s="3" t="s">
        <v>22</v>
      </c>
      <c r="F386" s="3">
        <v>235</v>
      </c>
      <c r="G386" s="3">
        <v>232</v>
      </c>
      <c r="H386" s="3">
        <v>3</v>
      </c>
      <c r="I386" s="5">
        <f t="shared" si="30"/>
        <v>1.276595744680851E-2</v>
      </c>
      <c r="J386" s="6">
        <f t="shared" si="35"/>
        <v>12765.95744680851</v>
      </c>
      <c r="K386" s="7">
        <v>1.75</v>
      </c>
      <c r="L386" s="3">
        <v>415</v>
      </c>
      <c r="M386" s="3">
        <v>450</v>
      </c>
      <c r="N386" s="3">
        <v>35</v>
      </c>
      <c r="O386" s="5">
        <f t="shared" si="31"/>
        <v>0.92222222222222228</v>
      </c>
      <c r="P386" s="5">
        <f t="shared" si="32"/>
        <v>0.99096385542168675</v>
      </c>
      <c r="Q386" s="5">
        <f t="shared" si="33"/>
        <v>0.98723404255319147</v>
      </c>
      <c r="R386" s="5">
        <f t="shared" si="34"/>
        <v>0.90222222222222226</v>
      </c>
    </row>
    <row r="387" spans="1:18" x14ac:dyDescent="0.25">
      <c r="A387" s="3">
        <v>383</v>
      </c>
      <c r="B387" s="4">
        <v>46229</v>
      </c>
      <c r="C387" s="3" t="s">
        <v>28</v>
      </c>
      <c r="D387" s="3" t="s">
        <v>21</v>
      </c>
      <c r="E387" s="3" t="s">
        <v>35</v>
      </c>
      <c r="F387" s="3">
        <v>279</v>
      </c>
      <c r="G387" s="3">
        <v>277</v>
      </c>
      <c r="H387" s="3">
        <v>2</v>
      </c>
      <c r="I387" s="5">
        <f t="shared" si="30"/>
        <v>7.1684587813620072E-3</v>
      </c>
      <c r="J387" s="6">
        <f t="shared" si="35"/>
        <v>7168.4587813620074</v>
      </c>
      <c r="K387" s="7">
        <v>1.21</v>
      </c>
      <c r="L387" s="3">
        <v>387</v>
      </c>
      <c r="M387" s="3">
        <v>450</v>
      </c>
      <c r="N387" s="3">
        <v>63</v>
      </c>
      <c r="O387" s="5">
        <f t="shared" si="31"/>
        <v>0.86</v>
      </c>
      <c r="P387" s="5">
        <f t="shared" si="32"/>
        <v>0.87232558139534877</v>
      </c>
      <c r="Q387" s="5">
        <f t="shared" si="33"/>
        <v>0.99283154121863804</v>
      </c>
      <c r="R387" s="5">
        <f t="shared" si="34"/>
        <v>0.74482222222222227</v>
      </c>
    </row>
    <row r="388" spans="1:18" x14ac:dyDescent="0.25">
      <c r="A388" s="3">
        <v>384</v>
      </c>
      <c r="B388" s="4">
        <v>46229</v>
      </c>
      <c r="C388" s="3" t="s">
        <v>28</v>
      </c>
      <c r="D388" s="3" t="s">
        <v>23</v>
      </c>
      <c r="E388" s="3" t="s">
        <v>31</v>
      </c>
      <c r="F388" s="3">
        <v>230</v>
      </c>
      <c r="G388" s="3">
        <v>224</v>
      </c>
      <c r="H388" s="3">
        <v>6</v>
      </c>
      <c r="I388" s="5">
        <f t="shared" si="30"/>
        <v>2.6086956521739129E-2</v>
      </c>
      <c r="J388" s="6">
        <f t="shared" si="35"/>
        <v>26086.956521739128</v>
      </c>
      <c r="K388" s="7">
        <v>1.53</v>
      </c>
      <c r="L388" s="3">
        <v>392</v>
      </c>
      <c r="M388" s="3">
        <v>450</v>
      </c>
      <c r="N388" s="3">
        <v>58</v>
      </c>
      <c r="O388" s="5">
        <f t="shared" si="31"/>
        <v>0.87111111111111106</v>
      </c>
      <c r="P388" s="5">
        <f t="shared" si="32"/>
        <v>0.89770408163265314</v>
      </c>
      <c r="Q388" s="5">
        <f t="shared" si="33"/>
        <v>0.97391304347826091</v>
      </c>
      <c r="R388" s="5">
        <f t="shared" si="34"/>
        <v>0.76160000000000005</v>
      </c>
    </row>
    <row r="389" spans="1:18" x14ac:dyDescent="0.25">
      <c r="A389" s="3">
        <v>385</v>
      </c>
      <c r="B389" s="4">
        <v>46229</v>
      </c>
      <c r="C389" s="3" t="s">
        <v>30</v>
      </c>
      <c r="D389" s="3" t="s">
        <v>19</v>
      </c>
      <c r="E389" s="3" t="s">
        <v>29</v>
      </c>
      <c r="F389" s="3">
        <v>200</v>
      </c>
      <c r="G389" s="3">
        <v>196</v>
      </c>
      <c r="H389" s="3">
        <v>4</v>
      </c>
      <c r="I389" s="5">
        <f t="shared" ref="I389:I452" si="36">IFERROR(H389/F389,0)</f>
        <v>0.02</v>
      </c>
      <c r="J389" s="6">
        <f t="shared" si="35"/>
        <v>20000</v>
      </c>
      <c r="K389" s="7">
        <v>1.77</v>
      </c>
      <c r="L389" s="3">
        <v>401</v>
      </c>
      <c r="M389" s="3">
        <v>450</v>
      </c>
      <c r="N389" s="3">
        <v>49</v>
      </c>
      <c r="O389" s="5">
        <f t="shared" ref="O389:O452" si="37">IFERROR(L389/M389,0)</f>
        <v>0.89111111111111108</v>
      </c>
      <c r="P389" s="5">
        <f t="shared" ref="P389:P452" si="38">IFERROR(F389*K389/L389,0)</f>
        <v>0.88279301745635907</v>
      </c>
      <c r="Q389" s="5">
        <f t="shared" ref="Q389:Q452" si="39">IFERROR(G389/F389,0)</f>
        <v>0.98</v>
      </c>
      <c r="R389" s="5">
        <f t="shared" ref="R389:R452" si="40">O389*P389*Q389</f>
        <v>0.77093333333333325</v>
      </c>
    </row>
    <row r="390" spans="1:18" x14ac:dyDescent="0.25">
      <c r="A390" s="3">
        <v>386</v>
      </c>
      <c r="B390" s="4">
        <v>46229</v>
      </c>
      <c r="C390" s="3" t="s">
        <v>30</v>
      </c>
      <c r="D390" s="3" t="s">
        <v>21</v>
      </c>
      <c r="E390" s="3" t="s">
        <v>27</v>
      </c>
      <c r="F390" s="3">
        <v>344</v>
      </c>
      <c r="G390" s="3">
        <v>331</v>
      </c>
      <c r="H390" s="3">
        <v>13</v>
      </c>
      <c r="I390" s="5">
        <f t="shared" si="36"/>
        <v>3.7790697674418602E-2</v>
      </c>
      <c r="J390" s="6">
        <f t="shared" ref="J390:J453" si="41">H390/F390*1000000</f>
        <v>37790.697674418603</v>
      </c>
      <c r="K390" s="7">
        <v>0.96</v>
      </c>
      <c r="L390" s="3">
        <v>408</v>
      </c>
      <c r="M390" s="3">
        <v>450</v>
      </c>
      <c r="N390" s="3">
        <v>42</v>
      </c>
      <c r="O390" s="5">
        <f t="shared" si="37"/>
        <v>0.90666666666666662</v>
      </c>
      <c r="P390" s="5">
        <f t="shared" si="38"/>
        <v>0.80941176470588239</v>
      </c>
      <c r="Q390" s="5">
        <f t="shared" si="39"/>
        <v>0.96220930232558144</v>
      </c>
      <c r="R390" s="5">
        <f t="shared" si="40"/>
        <v>0.70613333333333339</v>
      </c>
    </row>
    <row r="391" spans="1:18" x14ac:dyDescent="0.25">
      <c r="A391" s="3">
        <v>387</v>
      </c>
      <c r="B391" s="4">
        <v>46229</v>
      </c>
      <c r="C391" s="3" t="s">
        <v>30</v>
      </c>
      <c r="D391" s="3" t="s">
        <v>23</v>
      </c>
      <c r="E391" s="3" t="s">
        <v>32</v>
      </c>
      <c r="F391" s="3">
        <v>241</v>
      </c>
      <c r="G391" s="3">
        <v>231</v>
      </c>
      <c r="H391" s="3">
        <v>10</v>
      </c>
      <c r="I391" s="5">
        <f t="shared" si="36"/>
        <v>4.1493775933609957E-2</v>
      </c>
      <c r="J391" s="6">
        <f t="shared" si="41"/>
        <v>41493.775933609955</v>
      </c>
      <c r="K391" s="7">
        <v>1.56</v>
      </c>
      <c r="L391" s="3">
        <v>441</v>
      </c>
      <c r="M391" s="3">
        <v>450</v>
      </c>
      <c r="N391" s="3">
        <v>9</v>
      </c>
      <c r="O391" s="5">
        <f t="shared" si="37"/>
        <v>0.98</v>
      </c>
      <c r="P391" s="5">
        <f t="shared" si="38"/>
        <v>0.85251700680272113</v>
      </c>
      <c r="Q391" s="5">
        <f t="shared" si="39"/>
        <v>0.95850622406639008</v>
      </c>
      <c r="R391" s="5">
        <f t="shared" si="40"/>
        <v>0.80080000000000007</v>
      </c>
    </row>
    <row r="392" spans="1:18" x14ac:dyDescent="0.25">
      <c r="A392" s="3">
        <v>388</v>
      </c>
      <c r="B392" s="4">
        <v>46229</v>
      </c>
      <c r="C392" s="3" t="s">
        <v>33</v>
      </c>
      <c r="D392" s="3" t="s">
        <v>19</v>
      </c>
      <c r="E392" s="3" t="s">
        <v>27</v>
      </c>
      <c r="F392" s="3">
        <v>1025</v>
      </c>
      <c r="G392" s="3">
        <v>1002</v>
      </c>
      <c r="H392" s="3">
        <v>23</v>
      </c>
      <c r="I392" s="5">
        <f t="shared" si="36"/>
        <v>2.2439024390243902E-2</v>
      </c>
      <c r="J392" s="6">
        <f t="shared" si="41"/>
        <v>22439.024390243903</v>
      </c>
      <c r="K392" s="7">
        <v>0.38</v>
      </c>
      <c r="L392" s="3">
        <v>428</v>
      </c>
      <c r="M392" s="3">
        <v>450</v>
      </c>
      <c r="N392" s="3">
        <v>22</v>
      </c>
      <c r="O392" s="5">
        <f t="shared" si="37"/>
        <v>0.95111111111111113</v>
      </c>
      <c r="P392" s="5">
        <f t="shared" si="38"/>
        <v>0.91004672897196259</v>
      </c>
      <c r="Q392" s="5">
        <f t="shared" si="39"/>
        <v>0.97756097560975608</v>
      </c>
      <c r="R392" s="5">
        <f t="shared" si="40"/>
        <v>0.84613333333333329</v>
      </c>
    </row>
    <row r="393" spans="1:18" x14ac:dyDescent="0.25">
      <c r="A393" s="3">
        <v>389</v>
      </c>
      <c r="B393" s="4">
        <v>46229</v>
      </c>
      <c r="C393" s="3" t="s">
        <v>33</v>
      </c>
      <c r="D393" s="3" t="s">
        <v>21</v>
      </c>
      <c r="E393" s="3" t="s">
        <v>22</v>
      </c>
      <c r="F393" s="3">
        <v>287</v>
      </c>
      <c r="G393" s="3">
        <v>282</v>
      </c>
      <c r="H393" s="3">
        <v>5</v>
      </c>
      <c r="I393" s="5">
        <f t="shared" si="36"/>
        <v>1.7421602787456445E-2</v>
      </c>
      <c r="J393" s="6">
        <f t="shared" si="41"/>
        <v>17421.602787456446</v>
      </c>
      <c r="K393" s="7">
        <v>1.35</v>
      </c>
      <c r="L393" s="3">
        <v>410</v>
      </c>
      <c r="M393" s="3">
        <v>450</v>
      </c>
      <c r="N393" s="3">
        <v>40</v>
      </c>
      <c r="O393" s="5">
        <f t="shared" si="37"/>
        <v>0.91111111111111109</v>
      </c>
      <c r="P393" s="5">
        <f t="shared" si="38"/>
        <v>0.94500000000000006</v>
      </c>
      <c r="Q393" s="5">
        <f t="shared" si="39"/>
        <v>0.98257839721254359</v>
      </c>
      <c r="R393" s="5">
        <f t="shared" si="40"/>
        <v>0.84599999999999997</v>
      </c>
    </row>
    <row r="394" spans="1:18" x14ac:dyDescent="0.25">
      <c r="A394" s="3">
        <v>390</v>
      </c>
      <c r="B394" s="4">
        <v>46229</v>
      </c>
      <c r="C394" s="3" t="s">
        <v>33</v>
      </c>
      <c r="D394" s="3" t="s">
        <v>23</v>
      </c>
      <c r="E394" s="3" t="s">
        <v>24</v>
      </c>
      <c r="F394" s="3">
        <v>275</v>
      </c>
      <c r="G394" s="3">
        <v>269</v>
      </c>
      <c r="H394" s="3">
        <v>6</v>
      </c>
      <c r="I394" s="5">
        <f t="shared" si="36"/>
        <v>2.181818181818182E-2</v>
      </c>
      <c r="J394" s="6">
        <f t="shared" si="41"/>
        <v>21818.18181818182</v>
      </c>
      <c r="K394" s="7">
        <v>1.25</v>
      </c>
      <c r="L394" s="3">
        <v>436</v>
      </c>
      <c r="M394" s="3">
        <v>450</v>
      </c>
      <c r="N394" s="3">
        <v>14</v>
      </c>
      <c r="O394" s="5">
        <f t="shared" si="37"/>
        <v>0.96888888888888891</v>
      </c>
      <c r="P394" s="5">
        <f t="shared" si="38"/>
        <v>0.7884174311926605</v>
      </c>
      <c r="Q394" s="5">
        <f t="shared" si="39"/>
        <v>0.97818181818181815</v>
      </c>
      <c r="R394" s="5">
        <f t="shared" si="40"/>
        <v>0.74722222222222212</v>
      </c>
    </row>
    <row r="395" spans="1:18" x14ac:dyDescent="0.25">
      <c r="A395" s="3">
        <v>391</v>
      </c>
      <c r="B395" s="4">
        <v>46230</v>
      </c>
      <c r="C395" s="3" t="s">
        <v>18</v>
      </c>
      <c r="D395" s="3" t="s">
        <v>19</v>
      </c>
      <c r="E395" s="3" t="s">
        <v>35</v>
      </c>
      <c r="F395" s="3">
        <v>285</v>
      </c>
      <c r="G395" s="3">
        <v>282</v>
      </c>
      <c r="H395" s="3">
        <v>3</v>
      </c>
      <c r="I395" s="5">
        <f t="shared" si="36"/>
        <v>1.0526315789473684E-2</v>
      </c>
      <c r="J395" s="6">
        <f t="shared" si="41"/>
        <v>10526.315789473683</v>
      </c>
      <c r="K395" s="7">
        <v>1.1100000000000001</v>
      </c>
      <c r="L395" s="3">
        <v>389</v>
      </c>
      <c r="M395" s="3">
        <v>450</v>
      </c>
      <c r="N395" s="3">
        <v>61</v>
      </c>
      <c r="O395" s="5">
        <f t="shared" si="37"/>
        <v>0.86444444444444446</v>
      </c>
      <c r="P395" s="5">
        <f t="shared" si="38"/>
        <v>0.81323907455012856</v>
      </c>
      <c r="Q395" s="5">
        <f t="shared" si="39"/>
        <v>0.98947368421052628</v>
      </c>
      <c r="R395" s="5">
        <f t="shared" si="40"/>
        <v>0.6956</v>
      </c>
    </row>
    <row r="396" spans="1:18" x14ac:dyDescent="0.25">
      <c r="A396" s="3">
        <v>392</v>
      </c>
      <c r="B396" s="4">
        <v>46230</v>
      </c>
      <c r="C396" s="3" t="s">
        <v>18</v>
      </c>
      <c r="D396" s="3" t="s">
        <v>21</v>
      </c>
      <c r="E396" s="3" t="s">
        <v>22</v>
      </c>
      <c r="F396" s="3">
        <v>408</v>
      </c>
      <c r="G396" s="3">
        <v>391</v>
      </c>
      <c r="H396" s="3">
        <v>17</v>
      </c>
      <c r="I396" s="5">
        <f t="shared" si="36"/>
        <v>4.1666666666666664E-2</v>
      </c>
      <c r="J396" s="6">
        <f t="shared" si="41"/>
        <v>41666.666666666664</v>
      </c>
      <c r="K396" s="7">
        <v>0.85</v>
      </c>
      <c r="L396" s="3">
        <v>432</v>
      </c>
      <c r="M396" s="3">
        <v>450</v>
      </c>
      <c r="N396" s="3">
        <v>18</v>
      </c>
      <c r="O396" s="5">
        <f t="shared" si="37"/>
        <v>0.96</v>
      </c>
      <c r="P396" s="5">
        <f t="shared" si="38"/>
        <v>0.80277777777777781</v>
      </c>
      <c r="Q396" s="5">
        <f t="shared" si="39"/>
        <v>0.95833333333333337</v>
      </c>
      <c r="R396" s="5">
        <f t="shared" si="40"/>
        <v>0.73855555555555563</v>
      </c>
    </row>
    <row r="397" spans="1:18" x14ac:dyDescent="0.25">
      <c r="A397" s="3">
        <v>393</v>
      </c>
      <c r="B397" s="4">
        <v>46230</v>
      </c>
      <c r="C397" s="3" t="s">
        <v>18</v>
      </c>
      <c r="D397" s="3" t="s">
        <v>23</v>
      </c>
      <c r="E397" s="3" t="s">
        <v>35</v>
      </c>
      <c r="F397" s="3">
        <v>470</v>
      </c>
      <c r="G397" s="3">
        <v>467</v>
      </c>
      <c r="H397" s="3">
        <v>3</v>
      </c>
      <c r="I397" s="5">
        <f t="shared" si="36"/>
        <v>6.382978723404255E-3</v>
      </c>
      <c r="J397" s="6">
        <f t="shared" si="41"/>
        <v>6382.9787234042551</v>
      </c>
      <c r="K397" s="7">
        <v>0.94</v>
      </c>
      <c r="L397" s="3">
        <v>432</v>
      </c>
      <c r="M397" s="3">
        <v>450</v>
      </c>
      <c r="N397" s="3">
        <v>18</v>
      </c>
      <c r="O397" s="5">
        <f t="shared" si="37"/>
        <v>0.96</v>
      </c>
      <c r="P397" s="5">
        <f t="shared" si="38"/>
        <v>1.022685185185185</v>
      </c>
      <c r="Q397" s="5">
        <f t="shared" si="39"/>
        <v>0.99361702127659579</v>
      </c>
      <c r="R397" s="5">
        <f t="shared" si="40"/>
        <v>0.975511111111111</v>
      </c>
    </row>
    <row r="398" spans="1:18" x14ac:dyDescent="0.25">
      <c r="A398" s="3">
        <v>394</v>
      </c>
      <c r="B398" s="4">
        <v>46230</v>
      </c>
      <c r="C398" s="3" t="s">
        <v>25</v>
      </c>
      <c r="D398" s="3" t="s">
        <v>19</v>
      </c>
      <c r="E398" s="3" t="s">
        <v>26</v>
      </c>
      <c r="F398" s="3">
        <v>306</v>
      </c>
      <c r="G398" s="3">
        <v>297</v>
      </c>
      <c r="H398" s="3">
        <v>9</v>
      </c>
      <c r="I398" s="5">
        <f t="shared" si="36"/>
        <v>2.9411764705882353E-2</v>
      </c>
      <c r="J398" s="6">
        <f t="shared" si="41"/>
        <v>29411.764705882353</v>
      </c>
      <c r="K398" s="7">
        <v>1.29</v>
      </c>
      <c r="L398" s="3">
        <v>396</v>
      </c>
      <c r="M398" s="3">
        <v>450</v>
      </c>
      <c r="N398" s="3">
        <v>54</v>
      </c>
      <c r="O398" s="5">
        <f t="shared" si="37"/>
        <v>0.88</v>
      </c>
      <c r="P398" s="5">
        <f t="shared" si="38"/>
        <v>0.99681818181818183</v>
      </c>
      <c r="Q398" s="5">
        <f t="shared" si="39"/>
        <v>0.97058823529411764</v>
      </c>
      <c r="R398" s="5">
        <f t="shared" si="40"/>
        <v>0.85139999999999993</v>
      </c>
    </row>
    <row r="399" spans="1:18" x14ac:dyDescent="0.25">
      <c r="A399" s="3">
        <v>395</v>
      </c>
      <c r="B399" s="4">
        <v>46230</v>
      </c>
      <c r="C399" s="3" t="s">
        <v>25</v>
      </c>
      <c r="D399" s="3" t="s">
        <v>21</v>
      </c>
      <c r="E399" s="3" t="s">
        <v>26</v>
      </c>
      <c r="F399" s="3">
        <v>355</v>
      </c>
      <c r="G399" s="3">
        <v>346</v>
      </c>
      <c r="H399" s="3">
        <v>9</v>
      </c>
      <c r="I399" s="5">
        <f t="shared" si="36"/>
        <v>2.5352112676056339E-2</v>
      </c>
      <c r="J399" s="6">
        <f t="shared" si="41"/>
        <v>25352.112676056338</v>
      </c>
      <c r="K399" s="7">
        <v>0.97</v>
      </c>
      <c r="L399" s="3">
        <v>437</v>
      </c>
      <c r="M399" s="3">
        <v>450</v>
      </c>
      <c r="N399" s="3">
        <v>13</v>
      </c>
      <c r="O399" s="5">
        <f t="shared" si="37"/>
        <v>0.97111111111111115</v>
      </c>
      <c r="P399" s="5">
        <f t="shared" si="38"/>
        <v>0.78798627002288324</v>
      </c>
      <c r="Q399" s="5">
        <f t="shared" si="39"/>
        <v>0.9746478873239437</v>
      </c>
      <c r="R399" s="5">
        <f t="shared" si="40"/>
        <v>0.74582222222222228</v>
      </c>
    </row>
    <row r="400" spans="1:18" x14ac:dyDescent="0.25">
      <c r="A400" s="3">
        <v>396</v>
      </c>
      <c r="B400" s="4">
        <v>46230</v>
      </c>
      <c r="C400" s="3" t="s">
        <v>25</v>
      </c>
      <c r="D400" s="3" t="s">
        <v>23</v>
      </c>
      <c r="E400" s="3" t="s">
        <v>20</v>
      </c>
      <c r="F400" s="3">
        <v>238</v>
      </c>
      <c r="G400" s="3">
        <v>237</v>
      </c>
      <c r="H400" s="3">
        <v>1</v>
      </c>
      <c r="I400" s="5">
        <f t="shared" si="36"/>
        <v>4.2016806722689074E-3</v>
      </c>
      <c r="J400" s="6">
        <f t="shared" si="41"/>
        <v>4201.6806722689071</v>
      </c>
      <c r="K400" s="7">
        <v>1.79</v>
      </c>
      <c r="L400" s="3">
        <v>419</v>
      </c>
      <c r="M400" s="3">
        <v>450</v>
      </c>
      <c r="N400" s="3">
        <v>31</v>
      </c>
      <c r="O400" s="5">
        <f t="shared" si="37"/>
        <v>0.93111111111111111</v>
      </c>
      <c r="P400" s="5">
        <f t="shared" si="38"/>
        <v>1.0167541766109784</v>
      </c>
      <c r="Q400" s="5">
        <f t="shared" si="39"/>
        <v>0.99579831932773111</v>
      </c>
      <c r="R400" s="5">
        <f t="shared" si="40"/>
        <v>0.94273333333333331</v>
      </c>
    </row>
    <row r="401" spans="1:18" x14ac:dyDescent="0.25">
      <c r="A401" s="3">
        <v>397</v>
      </c>
      <c r="B401" s="4">
        <v>46230</v>
      </c>
      <c r="C401" s="3" t="s">
        <v>28</v>
      </c>
      <c r="D401" s="3" t="s">
        <v>19</v>
      </c>
      <c r="E401" s="3" t="s">
        <v>35</v>
      </c>
      <c r="F401" s="3">
        <v>302</v>
      </c>
      <c r="G401" s="3">
        <v>301</v>
      </c>
      <c r="H401" s="3">
        <v>1</v>
      </c>
      <c r="I401" s="5">
        <f t="shared" si="36"/>
        <v>3.3112582781456954E-3</v>
      </c>
      <c r="J401" s="6">
        <f t="shared" si="41"/>
        <v>3311.2582781456954</v>
      </c>
      <c r="K401" s="7">
        <v>1.37</v>
      </c>
      <c r="L401" s="3">
        <v>412</v>
      </c>
      <c r="M401" s="3">
        <v>450</v>
      </c>
      <c r="N401" s="3">
        <v>38</v>
      </c>
      <c r="O401" s="5">
        <f t="shared" si="37"/>
        <v>0.91555555555555557</v>
      </c>
      <c r="P401" s="5">
        <f t="shared" si="38"/>
        <v>1.0042233009708739</v>
      </c>
      <c r="Q401" s="5">
        <f t="shared" si="39"/>
        <v>0.99668874172185429</v>
      </c>
      <c r="R401" s="5">
        <f t="shared" si="40"/>
        <v>0.91637777777777785</v>
      </c>
    </row>
    <row r="402" spans="1:18" x14ac:dyDescent="0.25">
      <c r="A402" s="3">
        <v>398</v>
      </c>
      <c r="B402" s="4">
        <v>46230</v>
      </c>
      <c r="C402" s="3" t="s">
        <v>28</v>
      </c>
      <c r="D402" s="3" t="s">
        <v>21</v>
      </c>
      <c r="E402" s="3" t="s">
        <v>29</v>
      </c>
      <c r="F402" s="3">
        <v>247</v>
      </c>
      <c r="G402" s="3">
        <v>245</v>
      </c>
      <c r="H402" s="3">
        <v>2</v>
      </c>
      <c r="I402" s="5">
        <f t="shared" si="36"/>
        <v>8.0971659919028341E-3</v>
      </c>
      <c r="J402" s="6">
        <f t="shared" si="41"/>
        <v>8097.1659919028343</v>
      </c>
      <c r="K402" s="7">
        <v>1.71</v>
      </c>
      <c r="L402" s="3">
        <v>427</v>
      </c>
      <c r="M402" s="3">
        <v>450</v>
      </c>
      <c r="N402" s="3">
        <v>23</v>
      </c>
      <c r="O402" s="5">
        <f t="shared" si="37"/>
        <v>0.94888888888888889</v>
      </c>
      <c r="P402" s="5">
        <f t="shared" si="38"/>
        <v>0.98915690866510542</v>
      </c>
      <c r="Q402" s="5">
        <f t="shared" si="39"/>
        <v>0.9919028340080972</v>
      </c>
      <c r="R402" s="5">
        <f t="shared" si="40"/>
        <v>0.93100000000000005</v>
      </c>
    </row>
    <row r="403" spans="1:18" x14ac:dyDescent="0.25">
      <c r="A403" s="3">
        <v>399</v>
      </c>
      <c r="B403" s="4">
        <v>46230</v>
      </c>
      <c r="C403" s="3" t="s">
        <v>28</v>
      </c>
      <c r="D403" s="3" t="s">
        <v>23</v>
      </c>
      <c r="E403" s="3" t="s">
        <v>32</v>
      </c>
      <c r="F403" s="3">
        <v>828</v>
      </c>
      <c r="G403" s="3">
        <v>807</v>
      </c>
      <c r="H403" s="3">
        <v>21</v>
      </c>
      <c r="I403" s="5">
        <f t="shared" si="36"/>
        <v>2.5362318840579712E-2</v>
      </c>
      <c r="J403" s="6">
        <f t="shared" si="41"/>
        <v>25362.318840579712</v>
      </c>
      <c r="K403" s="7">
        <v>0.44</v>
      </c>
      <c r="L403" s="3">
        <v>445</v>
      </c>
      <c r="M403" s="3">
        <v>450</v>
      </c>
      <c r="N403" s="3">
        <v>5</v>
      </c>
      <c r="O403" s="5">
        <f t="shared" si="37"/>
        <v>0.98888888888888893</v>
      </c>
      <c r="P403" s="5">
        <f t="shared" si="38"/>
        <v>0.81869662921348318</v>
      </c>
      <c r="Q403" s="5">
        <f t="shared" si="39"/>
        <v>0.97463768115942029</v>
      </c>
      <c r="R403" s="5">
        <f t="shared" si="40"/>
        <v>0.7890666666666668</v>
      </c>
    </row>
    <row r="404" spans="1:18" x14ac:dyDescent="0.25">
      <c r="A404" s="3">
        <v>400</v>
      </c>
      <c r="B404" s="4">
        <v>46230</v>
      </c>
      <c r="C404" s="3" t="s">
        <v>30</v>
      </c>
      <c r="D404" s="3" t="s">
        <v>19</v>
      </c>
      <c r="E404" s="3" t="s">
        <v>31</v>
      </c>
      <c r="F404" s="3">
        <v>216</v>
      </c>
      <c r="G404" s="3">
        <v>212</v>
      </c>
      <c r="H404" s="3">
        <v>4</v>
      </c>
      <c r="I404" s="5">
        <f t="shared" si="36"/>
        <v>1.8518518518518517E-2</v>
      </c>
      <c r="J404" s="6">
        <f t="shared" si="41"/>
        <v>18518.518518518518</v>
      </c>
      <c r="K404" s="7">
        <v>1.68</v>
      </c>
      <c r="L404" s="3">
        <v>395</v>
      </c>
      <c r="M404" s="3">
        <v>450</v>
      </c>
      <c r="N404" s="3">
        <v>55</v>
      </c>
      <c r="O404" s="5">
        <f t="shared" si="37"/>
        <v>0.87777777777777777</v>
      </c>
      <c r="P404" s="5">
        <f t="shared" si="38"/>
        <v>0.91868354430379751</v>
      </c>
      <c r="Q404" s="5">
        <f t="shared" si="39"/>
        <v>0.98148148148148151</v>
      </c>
      <c r="R404" s="5">
        <f t="shared" si="40"/>
        <v>0.79146666666666665</v>
      </c>
    </row>
    <row r="405" spans="1:18" x14ac:dyDescent="0.25">
      <c r="A405" s="3">
        <v>401</v>
      </c>
      <c r="B405" s="4">
        <v>46230</v>
      </c>
      <c r="C405" s="3" t="s">
        <v>30</v>
      </c>
      <c r="D405" s="3" t="s">
        <v>21</v>
      </c>
      <c r="E405" s="3" t="s">
        <v>27</v>
      </c>
      <c r="F405" s="3">
        <v>393</v>
      </c>
      <c r="G405" s="3">
        <v>387</v>
      </c>
      <c r="H405" s="3">
        <v>6</v>
      </c>
      <c r="I405" s="5">
        <f t="shared" si="36"/>
        <v>1.5267175572519083E-2</v>
      </c>
      <c r="J405" s="6">
        <f t="shared" si="41"/>
        <v>15267.175572519083</v>
      </c>
      <c r="K405" s="7">
        <v>1</v>
      </c>
      <c r="L405" s="3">
        <v>385</v>
      </c>
      <c r="M405" s="3">
        <v>450</v>
      </c>
      <c r="N405" s="3">
        <v>65</v>
      </c>
      <c r="O405" s="5">
        <f t="shared" si="37"/>
        <v>0.85555555555555551</v>
      </c>
      <c r="P405" s="5">
        <f t="shared" si="38"/>
        <v>1.0207792207792208</v>
      </c>
      <c r="Q405" s="5">
        <f t="shared" si="39"/>
        <v>0.98473282442748089</v>
      </c>
      <c r="R405" s="5">
        <f t="shared" si="40"/>
        <v>0.86</v>
      </c>
    </row>
    <row r="406" spans="1:18" x14ac:dyDescent="0.25">
      <c r="A406" s="3">
        <v>402</v>
      </c>
      <c r="B406" s="4">
        <v>46230</v>
      </c>
      <c r="C406" s="3" t="s">
        <v>30</v>
      </c>
      <c r="D406" s="3" t="s">
        <v>23</v>
      </c>
      <c r="E406" s="3" t="s">
        <v>26</v>
      </c>
      <c r="F406" s="3">
        <v>607</v>
      </c>
      <c r="G406" s="3">
        <v>581</v>
      </c>
      <c r="H406" s="3">
        <v>26</v>
      </c>
      <c r="I406" s="5">
        <f t="shared" si="36"/>
        <v>4.2833607907743002E-2</v>
      </c>
      <c r="J406" s="6">
        <f t="shared" si="41"/>
        <v>42833.607907743004</v>
      </c>
      <c r="K406" s="7">
        <v>0.62</v>
      </c>
      <c r="L406" s="3">
        <v>442</v>
      </c>
      <c r="M406" s="3">
        <v>450</v>
      </c>
      <c r="N406" s="3">
        <v>8</v>
      </c>
      <c r="O406" s="5">
        <f t="shared" si="37"/>
        <v>0.98222222222222222</v>
      </c>
      <c r="P406" s="5">
        <f t="shared" si="38"/>
        <v>0.85144796380090493</v>
      </c>
      <c r="Q406" s="5">
        <f t="shared" si="39"/>
        <v>0.95716639209225696</v>
      </c>
      <c r="R406" s="5">
        <f t="shared" si="40"/>
        <v>0.80048888888888881</v>
      </c>
    </row>
    <row r="407" spans="1:18" x14ac:dyDescent="0.25">
      <c r="A407" s="3">
        <v>403</v>
      </c>
      <c r="B407" s="4">
        <v>46230</v>
      </c>
      <c r="C407" s="3" t="s">
        <v>33</v>
      </c>
      <c r="D407" s="3" t="s">
        <v>19</v>
      </c>
      <c r="E407" s="3" t="s">
        <v>27</v>
      </c>
      <c r="F407" s="3">
        <v>789</v>
      </c>
      <c r="G407" s="3">
        <v>759</v>
      </c>
      <c r="H407" s="3">
        <v>30</v>
      </c>
      <c r="I407" s="5">
        <f t="shared" si="36"/>
        <v>3.8022813688212927E-2</v>
      </c>
      <c r="J407" s="6">
        <f t="shared" si="41"/>
        <v>38022.813688212926</v>
      </c>
      <c r="K407" s="7">
        <v>0.49</v>
      </c>
      <c r="L407" s="3">
        <v>404</v>
      </c>
      <c r="M407" s="3">
        <v>450</v>
      </c>
      <c r="N407" s="3">
        <v>46</v>
      </c>
      <c r="O407" s="5">
        <f t="shared" si="37"/>
        <v>0.89777777777777779</v>
      </c>
      <c r="P407" s="5">
        <f t="shared" si="38"/>
        <v>0.95695544554455447</v>
      </c>
      <c r="Q407" s="5">
        <f t="shared" si="39"/>
        <v>0.96197718631178708</v>
      </c>
      <c r="R407" s="5">
        <f t="shared" si="40"/>
        <v>0.82646666666666668</v>
      </c>
    </row>
    <row r="408" spans="1:18" x14ac:dyDescent="0.25">
      <c r="A408" s="3">
        <v>404</v>
      </c>
      <c r="B408" s="4">
        <v>46230</v>
      </c>
      <c r="C408" s="3" t="s">
        <v>33</v>
      </c>
      <c r="D408" s="3" t="s">
        <v>21</v>
      </c>
      <c r="E408" s="3" t="s">
        <v>27</v>
      </c>
      <c r="F408" s="3">
        <v>219</v>
      </c>
      <c r="G408" s="3">
        <v>210</v>
      </c>
      <c r="H408" s="3">
        <v>9</v>
      </c>
      <c r="I408" s="5">
        <f t="shared" si="36"/>
        <v>4.1095890410958902E-2</v>
      </c>
      <c r="J408" s="6">
        <f t="shared" si="41"/>
        <v>41095.890410958898</v>
      </c>
      <c r="K408" s="7">
        <v>1.77</v>
      </c>
      <c r="L408" s="3">
        <v>393</v>
      </c>
      <c r="M408" s="3">
        <v>450</v>
      </c>
      <c r="N408" s="3">
        <v>57</v>
      </c>
      <c r="O408" s="5">
        <f t="shared" si="37"/>
        <v>0.87333333333333329</v>
      </c>
      <c r="P408" s="5">
        <f t="shared" si="38"/>
        <v>0.98633587786259536</v>
      </c>
      <c r="Q408" s="5">
        <f t="shared" si="39"/>
        <v>0.95890410958904104</v>
      </c>
      <c r="R408" s="5">
        <f t="shared" si="40"/>
        <v>0.82599999999999985</v>
      </c>
    </row>
    <row r="409" spans="1:18" x14ac:dyDescent="0.25">
      <c r="A409" s="3">
        <v>405</v>
      </c>
      <c r="B409" s="4">
        <v>46230</v>
      </c>
      <c r="C409" s="3" t="s">
        <v>33</v>
      </c>
      <c r="D409" s="3" t="s">
        <v>23</v>
      </c>
      <c r="E409" s="3" t="s">
        <v>32</v>
      </c>
      <c r="F409" s="3">
        <v>672</v>
      </c>
      <c r="G409" s="3">
        <v>655</v>
      </c>
      <c r="H409" s="3">
        <v>17</v>
      </c>
      <c r="I409" s="5">
        <f t="shared" si="36"/>
        <v>2.5297619047619048E-2</v>
      </c>
      <c r="J409" s="6">
        <f t="shared" si="41"/>
        <v>25297.61904761905</v>
      </c>
      <c r="K409" s="7">
        <v>0.53</v>
      </c>
      <c r="L409" s="3">
        <v>389</v>
      </c>
      <c r="M409" s="3">
        <v>450</v>
      </c>
      <c r="N409" s="3">
        <v>61</v>
      </c>
      <c r="O409" s="5">
        <f t="shared" si="37"/>
        <v>0.86444444444444446</v>
      </c>
      <c r="P409" s="5">
        <f t="shared" si="38"/>
        <v>0.9155784061696659</v>
      </c>
      <c r="Q409" s="5">
        <f t="shared" si="39"/>
        <v>0.97470238095238093</v>
      </c>
      <c r="R409" s="5">
        <f t="shared" si="40"/>
        <v>0.77144444444444449</v>
      </c>
    </row>
    <row r="410" spans="1:18" x14ac:dyDescent="0.25">
      <c r="A410" s="3">
        <v>406</v>
      </c>
      <c r="B410" s="4">
        <v>46231</v>
      </c>
      <c r="C410" s="3" t="s">
        <v>18</v>
      </c>
      <c r="D410" s="3" t="s">
        <v>19</v>
      </c>
      <c r="E410" s="3" t="s">
        <v>22</v>
      </c>
      <c r="F410" s="3">
        <v>246</v>
      </c>
      <c r="G410" s="3">
        <v>238</v>
      </c>
      <c r="H410" s="3">
        <v>8</v>
      </c>
      <c r="I410" s="5">
        <f t="shared" si="36"/>
        <v>3.2520325203252036E-2</v>
      </c>
      <c r="J410" s="6">
        <f t="shared" si="41"/>
        <v>32520.325203252036</v>
      </c>
      <c r="K410" s="7">
        <v>1.65</v>
      </c>
      <c r="L410" s="3">
        <v>397</v>
      </c>
      <c r="M410" s="3">
        <v>450</v>
      </c>
      <c r="N410" s="3">
        <v>53</v>
      </c>
      <c r="O410" s="5">
        <f t="shared" si="37"/>
        <v>0.88222222222222224</v>
      </c>
      <c r="P410" s="5">
        <f t="shared" si="38"/>
        <v>1.022418136020151</v>
      </c>
      <c r="Q410" s="5">
        <f t="shared" si="39"/>
        <v>0.96747967479674801</v>
      </c>
      <c r="R410" s="5">
        <f t="shared" si="40"/>
        <v>0.87266666666666659</v>
      </c>
    </row>
    <row r="411" spans="1:18" x14ac:dyDescent="0.25">
      <c r="A411" s="3">
        <v>407</v>
      </c>
      <c r="B411" s="4">
        <v>46231</v>
      </c>
      <c r="C411" s="3" t="s">
        <v>18</v>
      </c>
      <c r="D411" s="3" t="s">
        <v>21</v>
      </c>
      <c r="E411" s="3" t="s">
        <v>27</v>
      </c>
      <c r="F411" s="3">
        <v>348</v>
      </c>
      <c r="G411" s="3">
        <v>342</v>
      </c>
      <c r="H411" s="3">
        <v>6</v>
      </c>
      <c r="I411" s="5">
        <f t="shared" si="36"/>
        <v>1.7241379310344827E-2</v>
      </c>
      <c r="J411" s="6">
        <f t="shared" si="41"/>
        <v>17241.379310344826</v>
      </c>
      <c r="K411" s="7">
        <v>1.05</v>
      </c>
      <c r="L411" s="3">
        <v>418</v>
      </c>
      <c r="M411" s="3">
        <v>450</v>
      </c>
      <c r="N411" s="3">
        <v>32</v>
      </c>
      <c r="O411" s="5">
        <f t="shared" si="37"/>
        <v>0.92888888888888888</v>
      </c>
      <c r="P411" s="5">
        <f t="shared" si="38"/>
        <v>0.87416267942583736</v>
      </c>
      <c r="Q411" s="5">
        <f t="shared" si="39"/>
        <v>0.98275862068965514</v>
      </c>
      <c r="R411" s="5">
        <f t="shared" si="40"/>
        <v>0.79800000000000004</v>
      </c>
    </row>
    <row r="412" spans="1:18" x14ac:dyDescent="0.25">
      <c r="A412" s="3">
        <v>408</v>
      </c>
      <c r="B412" s="4">
        <v>46231</v>
      </c>
      <c r="C412" s="3" t="s">
        <v>18</v>
      </c>
      <c r="D412" s="3" t="s">
        <v>23</v>
      </c>
      <c r="E412" s="3" t="s">
        <v>35</v>
      </c>
      <c r="F412" s="3">
        <v>364</v>
      </c>
      <c r="G412" s="3">
        <v>362</v>
      </c>
      <c r="H412" s="3">
        <v>2</v>
      </c>
      <c r="I412" s="5">
        <f t="shared" si="36"/>
        <v>5.4945054945054949E-3</v>
      </c>
      <c r="J412" s="6">
        <f t="shared" si="41"/>
        <v>5494.5054945054953</v>
      </c>
      <c r="K412" s="7">
        <v>0.92</v>
      </c>
      <c r="L412" s="3">
        <v>418</v>
      </c>
      <c r="M412" s="3">
        <v>450</v>
      </c>
      <c r="N412" s="3">
        <v>32</v>
      </c>
      <c r="O412" s="5">
        <f t="shared" si="37"/>
        <v>0.92888888888888888</v>
      </c>
      <c r="P412" s="5">
        <f t="shared" si="38"/>
        <v>0.80114832535885161</v>
      </c>
      <c r="Q412" s="5">
        <f t="shared" si="39"/>
        <v>0.99450549450549453</v>
      </c>
      <c r="R412" s="5">
        <f t="shared" si="40"/>
        <v>0.7400888888888888</v>
      </c>
    </row>
    <row r="413" spans="1:18" x14ac:dyDescent="0.25">
      <c r="A413" s="3">
        <v>409</v>
      </c>
      <c r="B413" s="4">
        <v>46231</v>
      </c>
      <c r="C413" s="3" t="s">
        <v>25</v>
      </c>
      <c r="D413" s="3" t="s">
        <v>19</v>
      </c>
      <c r="E413" s="3" t="s">
        <v>32</v>
      </c>
      <c r="F413" s="3">
        <v>274</v>
      </c>
      <c r="G413" s="3">
        <v>266</v>
      </c>
      <c r="H413" s="3">
        <v>8</v>
      </c>
      <c r="I413" s="5">
        <f t="shared" si="36"/>
        <v>2.9197080291970802E-2</v>
      </c>
      <c r="J413" s="6">
        <f t="shared" si="41"/>
        <v>29197.0802919708</v>
      </c>
      <c r="K413" s="7">
        <v>1.48</v>
      </c>
      <c r="L413" s="3">
        <v>401</v>
      </c>
      <c r="M413" s="3">
        <v>450</v>
      </c>
      <c r="N413" s="3">
        <v>49</v>
      </c>
      <c r="O413" s="5">
        <f t="shared" si="37"/>
        <v>0.89111111111111108</v>
      </c>
      <c r="P413" s="5">
        <f t="shared" si="38"/>
        <v>1.0112718204488778</v>
      </c>
      <c r="Q413" s="5">
        <f t="shared" si="39"/>
        <v>0.97080291970802923</v>
      </c>
      <c r="R413" s="5">
        <f t="shared" si="40"/>
        <v>0.87484444444444442</v>
      </c>
    </row>
    <row r="414" spans="1:18" x14ac:dyDescent="0.25">
      <c r="A414" s="3">
        <v>410</v>
      </c>
      <c r="B414" s="4">
        <v>46231</v>
      </c>
      <c r="C414" s="3" t="s">
        <v>25</v>
      </c>
      <c r="D414" s="3" t="s">
        <v>21</v>
      </c>
      <c r="E414" s="3" t="s">
        <v>26</v>
      </c>
      <c r="F414" s="3">
        <v>856</v>
      </c>
      <c r="G414" s="3">
        <v>846</v>
      </c>
      <c r="H414" s="3">
        <v>10</v>
      </c>
      <c r="I414" s="5">
        <f t="shared" si="36"/>
        <v>1.1682242990654205E-2</v>
      </c>
      <c r="J414" s="6">
        <f t="shared" si="41"/>
        <v>11682.242990654206</v>
      </c>
      <c r="K414" s="7">
        <v>0.4</v>
      </c>
      <c r="L414" s="3">
        <v>418</v>
      </c>
      <c r="M414" s="3">
        <v>450</v>
      </c>
      <c r="N414" s="3">
        <v>32</v>
      </c>
      <c r="O414" s="5">
        <f t="shared" si="37"/>
        <v>0.92888888888888888</v>
      </c>
      <c r="P414" s="5">
        <f t="shared" si="38"/>
        <v>0.81913875598086128</v>
      </c>
      <c r="Q414" s="5">
        <f t="shared" si="39"/>
        <v>0.98831775700934577</v>
      </c>
      <c r="R414" s="5">
        <f t="shared" si="40"/>
        <v>0.752</v>
      </c>
    </row>
    <row r="415" spans="1:18" x14ac:dyDescent="0.25">
      <c r="A415" s="3">
        <v>411</v>
      </c>
      <c r="B415" s="4">
        <v>46231</v>
      </c>
      <c r="C415" s="3" t="s">
        <v>25</v>
      </c>
      <c r="D415" s="3" t="s">
        <v>23</v>
      </c>
      <c r="E415" s="3" t="s">
        <v>24</v>
      </c>
      <c r="F415" s="3">
        <v>204</v>
      </c>
      <c r="G415" s="3">
        <v>195</v>
      </c>
      <c r="H415" s="3">
        <v>9</v>
      </c>
      <c r="I415" s="5">
        <f t="shared" si="36"/>
        <v>4.4117647058823532E-2</v>
      </c>
      <c r="J415" s="6">
        <f t="shared" si="41"/>
        <v>44117.647058823532</v>
      </c>
      <c r="K415" s="7">
        <v>1.76</v>
      </c>
      <c r="L415" s="3">
        <v>396</v>
      </c>
      <c r="M415" s="3">
        <v>450</v>
      </c>
      <c r="N415" s="3">
        <v>54</v>
      </c>
      <c r="O415" s="5">
        <f t="shared" si="37"/>
        <v>0.88</v>
      </c>
      <c r="P415" s="5">
        <f t="shared" si="38"/>
        <v>0.90666666666666673</v>
      </c>
      <c r="Q415" s="5">
        <f t="shared" si="39"/>
        <v>0.95588235294117652</v>
      </c>
      <c r="R415" s="5">
        <f t="shared" si="40"/>
        <v>0.76266666666666671</v>
      </c>
    </row>
    <row r="416" spans="1:18" x14ac:dyDescent="0.25">
      <c r="A416" s="3">
        <v>412</v>
      </c>
      <c r="B416" s="4">
        <v>46231</v>
      </c>
      <c r="C416" s="3" t="s">
        <v>28</v>
      </c>
      <c r="D416" s="3" t="s">
        <v>19</v>
      </c>
      <c r="E416" s="3" t="s">
        <v>27</v>
      </c>
      <c r="F416" s="3">
        <v>204</v>
      </c>
      <c r="G416" s="3">
        <v>203</v>
      </c>
      <c r="H416" s="3">
        <v>1</v>
      </c>
      <c r="I416" s="5">
        <f t="shared" si="36"/>
        <v>4.9019607843137254E-3</v>
      </c>
      <c r="J416" s="6">
        <f t="shared" si="41"/>
        <v>4901.9607843137255</v>
      </c>
      <c r="K416" s="7">
        <v>1.77</v>
      </c>
      <c r="L416" s="3">
        <v>432</v>
      </c>
      <c r="M416" s="3">
        <v>450</v>
      </c>
      <c r="N416" s="3">
        <v>18</v>
      </c>
      <c r="O416" s="5">
        <f t="shared" si="37"/>
        <v>0.96</v>
      </c>
      <c r="P416" s="5">
        <f t="shared" si="38"/>
        <v>0.83583333333333332</v>
      </c>
      <c r="Q416" s="5">
        <f t="shared" si="39"/>
        <v>0.99509803921568629</v>
      </c>
      <c r="R416" s="5">
        <f t="shared" si="40"/>
        <v>0.79846666666666666</v>
      </c>
    </row>
    <row r="417" spans="1:18" x14ac:dyDescent="0.25">
      <c r="A417" s="3">
        <v>413</v>
      </c>
      <c r="B417" s="4">
        <v>46231</v>
      </c>
      <c r="C417" s="3" t="s">
        <v>28</v>
      </c>
      <c r="D417" s="3" t="s">
        <v>21</v>
      </c>
      <c r="E417" s="3" t="s">
        <v>20</v>
      </c>
      <c r="F417" s="3">
        <v>565</v>
      </c>
      <c r="G417" s="3">
        <v>550</v>
      </c>
      <c r="H417" s="3">
        <v>15</v>
      </c>
      <c r="I417" s="5">
        <f t="shared" si="36"/>
        <v>2.6548672566371681E-2</v>
      </c>
      <c r="J417" s="6">
        <f t="shared" si="41"/>
        <v>26548.672566371682</v>
      </c>
      <c r="K417" s="7">
        <v>0.56999999999999995</v>
      </c>
      <c r="L417" s="3">
        <v>389</v>
      </c>
      <c r="M417" s="3">
        <v>450</v>
      </c>
      <c r="N417" s="3">
        <v>61</v>
      </c>
      <c r="O417" s="5">
        <f t="shared" si="37"/>
        <v>0.86444444444444446</v>
      </c>
      <c r="P417" s="5">
        <f t="shared" si="38"/>
        <v>0.82789203084832896</v>
      </c>
      <c r="Q417" s="5">
        <f t="shared" si="39"/>
        <v>0.97345132743362828</v>
      </c>
      <c r="R417" s="5">
        <f t="shared" si="40"/>
        <v>0.69666666666666655</v>
      </c>
    </row>
    <row r="418" spans="1:18" x14ac:dyDescent="0.25">
      <c r="A418" s="3">
        <v>414</v>
      </c>
      <c r="B418" s="4">
        <v>46231</v>
      </c>
      <c r="C418" s="3" t="s">
        <v>28</v>
      </c>
      <c r="D418" s="3" t="s">
        <v>23</v>
      </c>
      <c r="E418" s="3" t="s">
        <v>32</v>
      </c>
      <c r="F418" s="3">
        <v>241</v>
      </c>
      <c r="G418" s="3">
        <v>234</v>
      </c>
      <c r="H418" s="3">
        <v>7</v>
      </c>
      <c r="I418" s="5">
        <f t="shared" si="36"/>
        <v>2.9045643153526972E-2</v>
      </c>
      <c r="J418" s="6">
        <f t="shared" si="41"/>
        <v>29045.643153526973</v>
      </c>
      <c r="K418" s="7">
        <v>1.67</v>
      </c>
      <c r="L418" s="3">
        <v>442</v>
      </c>
      <c r="M418" s="3">
        <v>450</v>
      </c>
      <c r="N418" s="3">
        <v>8</v>
      </c>
      <c r="O418" s="5">
        <f t="shared" si="37"/>
        <v>0.98222222222222222</v>
      </c>
      <c r="P418" s="5">
        <f t="shared" si="38"/>
        <v>0.91056561085972842</v>
      </c>
      <c r="Q418" s="5">
        <f t="shared" si="39"/>
        <v>0.97095435684647302</v>
      </c>
      <c r="R418" s="5">
        <f t="shared" si="40"/>
        <v>0.86839999999999995</v>
      </c>
    </row>
    <row r="419" spans="1:18" x14ac:dyDescent="0.25">
      <c r="A419" s="3">
        <v>415</v>
      </c>
      <c r="B419" s="4">
        <v>46231</v>
      </c>
      <c r="C419" s="3" t="s">
        <v>30</v>
      </c>
      <c r="D419" s="3" t="s">
        <v>19</v>
      </c>
      <c r="E419" s="3" t="s">
        <v>22</v>
      </c>
      <c r="F419" s="3">
        <v>605</v>
      </c>
      <c r="G419" s="3">
        <v>581</v>
      </c>
      <c r="H419" s="3">
        <v>24</v>
      </c>
      <c r="I419" s="5">
        <f t="shared" si="36"/>
        <v>3.9669421487603308E-2</v>
      </c>
      <c r="J419" s="6">
        <f t="shared" si="41"/>
        <v>39669.421487603307</v>
      </c>
      <c r="K419" s="7">
        <v>0.64</v>
      </c>
      <c r="L419" s="3">
        <v>415</v>
      </c>
      <c r="M419" s="3">
        <v>450</v>
      </c>
      <c r="N419" s="3">
        <v>35</v>
      </c>
      <c r="O419" s="5">
        <f t="shared" si="37"/>
        <v>0.92222222222222228</v>
      </c>
      <c r="P419" s="5">
        <f t="shared" si="38"/>
        <v>0.93301204819277106</v>
      </c>
      <c r="Q419" s="5">
        <f t="shared" si="39"/>
        <v>0.96033057851239667</v>
      </c>
      <c r="R419" s="5">
        <f t="shared" si="40"/>
        <v>0.82631111111111111</v>
      </c>
    </row>
    <row r="420" spans="1:18" x14ac:dyDescent="0.25">
      <c r="A420" s="3">
        <v>416</v>
      </c>
      <c r="B420" s="4">
        <v>46231</v>
      </c>
      <c r="C420" s="3" t="s">
        <v>30</v>
      </c>
      <c r="D420" s="3" t="s">
        <v>21</v>
      </c>
      <c r="E420" s="3" t="s">
        <v>34</v>
      </c>
      <c r="F420" s="3">
        <v>198</v>
      </c>
      <c r="G420" s="3">
        <v>197</v>
      </c>
      <c r="H420" s="3">
        <v>1</v>
      </c>
      <c r="I420" s="5">
        <f t="shared" si="36"/>
        <v>5.0505050505050509E-3</v>
      </c>
      <c r="J420" s="6">
        <f t="shared" si="41"/>
        <v>5050.5050505050513</v>
      </c>
      <c r="K420" s="7">
        <v>1.73</v>
      </c>
      <c r="L420" s="3">
        <v>397</v>
      </c>
      <c r="M420" s="3">
        <v>450</v>
      </c>
      <c r="N420" s="3">
        <v>53</v>
      </c>
      <c r="O420" s="5">
        <f t="shared" si="37"/>
        <v>0.88222222222222224</v>
      </c>
      <c r="P420" s="5">
        <f t="shared" si="38"/>
        <v>0.86282115869017639</v>
      </c>
      <c r="Q420" s="5">
        <f t="shared" si="39"/>
        <v>0.99494949494949492</v>
      </c>
      <c r="R420" s="5">
        <f t="shared" si="40"/>
        <v>0.75735555555555567</v>
      </c>
    </row>
    <row r="421" spans="1:18" x14ac:dyDescent="0.25">
      <c r="A421" s="3">
        <v>417</v>
      </c>
      <c r="B421" s="4">
        <v>46231</v>
      </c>
      <c r="C421" s="3" t="s">
        <v>30</v>
      </c>
      <c r="D421" s="3" t="s">
        <v>23</v>
      </c>
      <c r="E421" s="3" t="s">
        <v>26</v>
      </c>
      <c r="F421" s="3">
        <v>629</v>
      </c>
      <c r="G421" s="3">
        <v>617</v>
      </c>
      <c r="H421" s="3">
        <v>12</v>
      </c>
      <c r="I421" s="5">
        <f t="shared" si="36"/>
        <v>1.9077901430842606E-2</v>
      </c>
      <c r="J421" s="6">
        <f t="shared" si="41"/>
        <v>19077.901430842605</v>
      </c>
      <c r="K421" s="7">
        <v>0.68</v>
      </c>
      <c r="L421" s="3">
        <v>421</v>
      </c>
      <c r="M421" s="3">
        <v>450</v>
      </c>
      <c r="N421" s="3">
        <v>29</v>
      </c>
      <c r="O421" s="5">
        <f t="shared" si="37"/>
        <v>0.93555555555555558</v>
      </c>
      <c r="P421" s="5">
        <f t="shared" si="38"/>
        <v>1.0159619952494063</v>
      </c>
      <c r="Q421" s="5">
        <f t="shared" si="39"/>
        <v>0.98092209856915735</v>
      </c>
      <c r="R421" s="5">
        <f t="shared" si="40"/>
        <v>0.93235555555555572</v>
      </c>
    </row>
    <row r="422" spans="1:18" x14ac:dyDescent="0.25">
      <c r="A422" s="3">
        <v>418</v>
      </c>
      <c r="B422" s="4">
        <v>46231</v>
      </c>
      <c r="C422" s="3" t="s">
        <v>33</v>
      </c>
      <c r="D422" s="3" t="s">
        <v>19</v>
      </c>
      <c r="E422" s="3" t="s">
        <v>26</v>
      </c>
      <c r="F422" s="3">
        <v>260</v>
      </c>
      <c r="G422" s="3">
        <v>257</v>
      </c>
      <c r="H422" s="3">
        <v>3</v>
      </c>
      <c r="I422" s="5">
        <f t="shared" si="36"/>
        <v>1.1538461538461539E-2</v>
      </c>
      <c r="J422" s="6">
        <f t="shared" si="41"/>
        <v>11538.461538461539</v>
      </c>
      <c r="K422" s="7">
        <v>1.47</v>
      </c>
      <c r="L422" s="3">
        <v>419</v>
      </c>
      <c r="M422" s="3">
        <v>450</v>
      </c>
      <c r="N422" s="3">
        <v>31</v>
      </c>
      <c r="O422" s="5">
        <f t="shared" si="37"/>
        <v>0.93111111111111111</v>
      </c>
      <c r="P422" s="5">
        <f t="shared" si="38"/>
        <v>0.91217183770883048</v>
      </c>
      <c r="Q422" s="5">
        <f t="shared" si="39"/>
        <v>0.9884615384615385</v>
      </c>
      <c r="R422" s="5">
        <f t="shared" si="40"/>
        <v>0.83953333333333335</v>
      </c>
    </row>
    <row r="423" spans="1:18" x14ac:dyDescent="0.25">
      <c r="A423" s="3">
        <v>419</v>
      </c>
      <c r="B423" s="4">
        <v>46231</v>
      </c>
      <c r="C423" s="3" t="s">
        <v>33</v>
      </c>
      <c r="D423" s="3" t="s">
        <v>21</v>
      </c>
      <c r="E423" s="3" t="s">
        <v>34</v>
      </c>
      <c r="F423" s="3">
        <v>501</v>
      </c>
      <c r="G423" s="3">
        <v>490</v>
      </c>
      <c r="H423" s="3">
        <v>11</v>
      </c>
      <c r="I423" s="5">
        <f t="shared" si="36"/>
        <v>2.1956087824351298E-2</v>
      </c>
      <c r="J423" s="6">
        <f t="shared" si="41"/>
        <v>21956.0878243513</v>
      </c>
      <c r="K423" s="7">
        <v>0.82</v>
      </c>
      <c r="L423" s="3">
        <v>434</v>
      </c>
      <c r="M423" s="3">
        <v>450</v>
      </c>
      <c r="N423" s="3">
        <v>16</v>
      </c>
      <c r="O423" s="5">
        <f t="shared" si="37"/>
        <v>0.96444444444444444</v>
      </c>
      <c r="P423" s="5">
        <f t="shared" si="38"/>
        <v>0.94658986175115201</v>
      </c>
      <c r="Q423" s="5">
        <f t="shared" si="39"/>
        <v>0.97804391217564868</v>
      </c>
      <c r="R423" s="5">
        <f t="shared" si="40"/>
        <v>0.89288888888888884</v>
      </c>
    </row>
    <row r="424" spans="1:18" x14ac:dyDescent="0.25">
      <c r="A424" s="3">
        <v>420</v>
      </c>
      <c r="B424" s="4">
        <v>46231</v>
      </c>
      <c r="C424" s="3" t="s">
        <v>33</v>
      </c>
      <c r="D424" s="3" t="s">
        <v>23</v>
      </c>
      <c r="E424" s="3" t="s">
        <v>35</v>
      </c>
      <c r="F424" s="3">
        <v>573</v>
      </c>
      <c r="G424" s="3">
        <v>567</v>
      </c>
      <c r="H424" s="3">
        <v>6</v>
      </c>
      <c r="I424" s="5">
        <f t="shared" si="36"/>
        <v>1.0471204188481676E-2</v>
      </c>
      <c r="J424" s="6">
        <f t="shared" si="41"/>
        <v>10471.204188481675</v>
      </c>
      <c r="K424" s="7">
        <v>0.68</v>
      </c>
      <c r="L424" s="3">
        <v>406</v>
      </c>
      <c r="M424" s="3">
        <v>450</v>
      </c>
      <c r="N424" s="3">
        <v>44</v>
      </c>
      <c r="O424" s="5">
        <f t="shared" si="37"/>
        <v>0.90222222222222226</v>
      </c>
      <c r="P424" s="5">
        <f t="shared" si="38"/>
        <v>0.95970443349753709</v>
      </c>
      <c r="Q424" s="5">
        <f t="shared" si="39"/>
        <v>0.98952879581151831</v>
      </c>
      <c r="R424" s="5">
        <f t="shared" si="40"/>
        <v>0.85680000000000012</v>
      </c>
    </row>
    <row r="425" spans="1:18" x14ac:dyDescent="0.25">
      <c r="A425" s="3">
        <v>421</v>
      </c>
      <c r="B425" s="4">
        <v>46232</v>
      </c>
      <c r="C425" s="3" t="s">
        <v>18</v>
      </c>
      <c r="D425" s="3" t="s">
        <v>19</v>
      </c>
      <c r="E425" s="3" t="s">
        <v>24</v>
      </c>
      <c r="F425" s="3">
        <v>188</v>
      </c>
      <c r="G425" s="3">
        <v>184</v>
      </c>
      <c r="H425" s="3">
        <v>4</v>
      </c>
      <c r="I425" s="5">
        <f t="shared" si="36"/>
        <v>2.1276595744680851E-2</v>
      </c>
      <c r="J425" s="6">
        <f t="shared" si="41"/>
        <v>21276.59574468085</v>
      </c>
      <c r="K425" s="7">
        <v>1.71</v>
      </c>
      <c r="L425" s="3">
        <v>399</v>
      </c>
      <c r="M425" s="3">
        <v>450</v>
      </c>
      <c r="N425" s="3">
        <v>51</v>
      </c>
      <c r="O425" s="5">
        <f t="shared" si="37"/>
        <v>0.88666666666666671</v>
      </c>
      <c r="P425" s="5">
        <f t="shared" si="38"/>
        <v>0.80571428571428572</v>
      </c>
      <c r="Q425" s="5">
        <f t="shared" si="39"/>
        <v>0.97872340425531912</v>
      </c>
      <c r="R425" s="5">
        <f t="shared" si="40"/>
        <v>0.69920000000000004</v>
      </c>
    </row>
    <row r="426" spans="1:18" x14ac:dyDescent="0.25">
      <c r="A426" s="3">
        <v>422</v>
      </c>
      <c r="B426" s="4">
        <v>46232</v>
      </c>
      <c r="C426" s="3" t="s">
        <v>18</v>
      </c>
      <c r="D426" s="3" t="s">
        <v>21</v>
      </c>
      <c r="E426" s="3" t="s">
        <v>26</v>
      </c>
      <c r="F426" s="3">
        <v>357</v>
      </c>
      <c r="G426" s="3">
        <v>349</v>
      </c>
      <c r="H426" s="3">
        <v>8</v>
      </c>
      <c r="I426" s="5">
        <f t="shared" si="36"/>
        <v>2.2408963585434174E-2</v>
      </c>
      <c r="J426" s="6">
        <f t="shared" si="41"/>
        <v>22408.963585434172</v>
      </c>
      <c r="K426" s="7">
        <v>1.1000000000000001</v>
      </c>
      <c r="L426" s="3">
        <v>434</v>
      </c>
      <c r="M426" s="3">
        <v>450</v>
      </c>
      <c r="N426" s="3">
        <v>16</v>
      </c>
      <c r="O426" s="5">
        <f t="shared" si="37"/>
        <v>0.96444444444444444</v>
      </c>
      <c r="P426" s="5">
        <f t="shared" si="38"/>
        <v>0.90483870967741942</v>
      </c>
      <c r="Q426" s="5">
        <f t="shared" si="39"/>
        <v>0.97759103641456579</v>
      </c>
      <c r="R426" s="5">
        <f t="shared" si="40"/>
        <v>0.85311111111111115</v>
      </c>
    </row>
    <row r="427" spans="1:18" x14ac:dyDescent="0.25">
      <c r="A427" s="3">
        <v>423</v>
      </c>
      <c r="B427" s="4">
        <v>46232</v>
      </c>
      <c r="C427" s="3" t="s">
        <v>18</v>
      </c>
      <c r="D427" s="3" t="s">
        <v>23</v>
      </c>
      <c r="E427" s="3" t="s">
        <v>26</v>
      </c>
      <c r="F427" s="3">
        <v>220</v>
      </c>
      <c r="G427" s="3">
        <v>215</v>
      </c>
      <c r="H427" s="3">
        <v>5</v>
      </c>
      <c r="I427" s="5">
        <f t="shared" si="36"/>
        <v>2.2727272727272728E-2</v>
      </c>
      <c r="J427" s="6">
        <f t="shared" si="41"/>
        <v>22727.272727272728</v>
      </c>
      <c r="K427" s="7">
        <v>1.79</v>
      </c>
      <c r="L427" s="3">
        <v>439</v>
      </c>
      <c r="M427" s="3">
        <v>450</v>
      </c>
      <c r="N427" s="3">
        <v>11</v>
      </c>
      <c r="O427" s="5">
        <f t="shared" si="37"/>
        <v>0.97555555555555551</v>
      </c>
      <c r="P427" s="5">
        <f t="shared" si="38"/>
        <v>0.89703872437357635</v>
      </c>
      <c r="Q427" s="5">
        <f t="shared" si="39"/>
        <v>0.97727272727272729</v>
      </c>
      <c r="R427" s="5">
        <f t="shared" si="40"/>
        <v>0.85522222222222222</v>
      </c>
    </row>
    <row r="428" spans="1:18" x14ac:dyDescent="0.25">
      <c r="A428" s="3">
        <v>424</v>
      </c>
      <c r="B428" s="4">
        <v>46232</v>
      </c>
      <c r="C428" s="3" t="s">
        <v>25</v>
      </c>
      <c r="D428" s="3" t="s">
        <v>19</v>
      </c>
      <c r="E428" s="3" t="s">
        <v>22</v>
      </c>
      <c r="F428" s="3">
        <v>858</v>
      </c>
      <c r="G428" s="3">
        <v>847</v>
      </c>
      <c r="H428" s="3">
        <v>11</v>
      </c>
      <c r="I428" s="5">
        <f t="shared" si="36"/>
        <v>1.282051282051282E-2</v>
      </c>
      <c r="J428" s="6">
        <f t="shared" si="41"/>
        <v>12820.51282051282</v>
      </c>
      <c r="K428" s="7">
        <v>0.45</v>
      </c>
      <c r="L428" s="3">
        <v>416</v>
      </c>
      <c r="M428" s="3">
        <v>450</v>
      </c>
      <c r="N428" s="3">
        <v>34</v>
      </c>
      <c r="O428" s="5">
        <f t="shared" si="37"/>
        <v>0.9244444444444444</v>
      </c>
      <c r="P428" s="5">
        <f t="shared" si="38"/>
        <v>0.92812500000000009</v>
      </c>
      <c r="Q428" s="5">
        <f t="shared" si="39"/>
        <v>0.98717948717948723</v>
      </c>
      <c r="R428" s="5">
        <f t="shared" si="40"/>
        <v>0.84700000000000009</v>
      </c>
    </row>
    <row r="429" spans="1:18" x14ac:dyDescent="0.25">
      <c r="A429" s="3">
        <v>425</v>
      </c>
      <c r="B429" s="4">
        <v>46232</v>
      </c>
      <c r="C429" s="3" t="s">
        <v>25</v>
      </c>
      <c r="D429" s="3" t="s">
        <v>21</v>
      </c>
      <c r="E429" s="3" t="s">
        <v>26</v>
      </c>
      <c r="F429" s="3">
        <v>329</v>
      </c>
      <c r="G429" s="3">
        <v>322</v>
      </c>
      <c r="H429" s="3">
        <v>7</v>
      </c>
      <c r="I429" s="5">
        <f t="shared" si="36"/>
        <v>2.1276595744680851E-2</v>
      </c>
      <c r="J429" s="6">
        <f t="shared" si="41"/>
        <v>21276.59574468085</v>
      </c>
      <c r="K429" s="7">
        <v>1.27</v>
      </c>
      <c r="L429" s="3">
        <v>408</v>
      </c>
      <c r="M429" s="3">
        <v>450</v>
      </c>
      <c r="N429" s="3">
        <v>42</v>
      </c>
      <c r="O429" s="5">
        <f t="shared" si="37"/>
        <v>0.90666666666666662</v>
      </c>
      <c r="P429" s="5">
        <f t="shared" si="38"/>
        <v>1.024093137254902</v>
      </c>
      <c r="Q429" s="5">
        <f t="shared" si="39"/>
        <v>0.97872340425531912</v>
      </c>
      <c r="R429" s="5">
        <f t="shared" si="40"/>
        <v>0.90875555555555554</v>
      </c>
    </row>
    <row r="430" spans="1:18" x14ac:dyDescent="0.25">
      <c r="A430" s="3">
        <v>426</v>
      </c>
      <c r="B430" s="4">
        <v>46232</v>
      </c>
      <c r="C430" s="3" t="s">
        <v>25</v>
      </c>
      <c r="D430" s="3" t="s">
        <v>23</v>
      </c>
      <c r="E430" s="3" t="s">
        <v>32</v>
      </c>
      <c r="F430" s="3">
        <v>240</v>
      </c>
      <c r="G430" s="3">
        <v>239</v>
      </c>
      <c r="H430" s="3">
        <v>1</v>
      </c>
      <c r="I430" s="5">
        <f t="shared" si="36"/>
        <v>4.1666666666666666E-3</v>
      </c>
      <c r="J430" s="6">
        <f t="shared" si="41"/>
        <v>4166.666666666667</v>
      </c>
      <c r="K430" s="7">
        <v>1.65</v>
      </c>
      <c r="L430" s="3">
        <v>442</v>
      </c>
      <c r="M430" s="3">
        <v>450</v>
      </c>
      <c r="N430" s="3">
        <v>8</v>
      </c>
      <c r="O430" s="5">
        <f t="shared" si="37"/>
        <v>0.98222222222222222</v>
      </c>
      <c r="P430" s="5">
        <f t="shared" si="38"/>
        <v>0.89592760180995479</v>
      </c>
      <c r="Q430" s="5">
        <f t="shared" si="39"/>
        <v>0.99583333333333335</v>
      </c>
      <c r="R430" s="5">
        <f t="shared" si="40"/>
        <v>0.8763333333333333</v>
      </c>
    </row>
    <row r="431" spans="1:18" x14ac:dyDescent="0.25">
      <c r="A431" s="3">
        <v>427</v>
      </c>
      <c r="B431" s="4">
        <v>46232</v>
      </c>
      <c r="C431" s="3" t="s">
        <v>28</v>
      </c>
      <c r="D431" s="3" t="s">
        <v>19</v>
      </c>
      <c r="E431" s="3" t="s">
        <v>35</v>
      </c>
      <c r="F431" s="3">
        <v>254</v>
      </c>
      <c r="G431" s="3">
        <v>249</v>
      </c>
      <c r="H431" s="3">
        <v>5</v>
      </c>
      <c r="I431" s="5">
        <f t="shared" si="36"/>
        <v>1.968503937007874E-2</v>
      </c>
      <c r="J431" s="6">
        <f t="shared" si="41"/>
        <v>19685.039370078739</v>
      </c>
      <c r="K431" s="7">
        <v>1.54</v>
      </c>
      <c r="L431" s="3">
        <v>402</v>
      </c>
      <c r="M431" s="3">
        <v>450</v>
      </c>
      <c r="N431" s="3">
        <v>48</v>
      </c>
      <c r="O431" s="5">
        <f t="shared" si="37"/>
        <v>0.89333333333333331</v>
      </c>
      <c r="P431" s="5">
        <f t="shared" si="38"/>
        <v>0.97303482587064682</v>
      </c>
      <c r="Q431" s="5">
        <f t="shared" si="39"/>
        <v>0.98031496062992129</v>
      </c>
      <c r="R431" s="5">
        <f t="shared" si="40"/>
        <v>0.85213333333333341</v>
      </c>
    </row>
    <row r="432" spans="1:18" x14ac:dyDescent="0.25">
      <c r="A432" s="3">
        <v>428</v>
      </c>
      <c r="B432" s="4">
        <v>46232</v>
      </c>
      <c r="C432" s="3" t="s">
        <v>28</v>
      </c>
      <c r="D432" s="3" t="s">
        <v>21</v>
      </c>
      <c r="E432" s="3" t="s">
        <v>24</v>
      </c>
      <c r="F432" s="3">
        <v>315</v>
      </c>
      <c r="G432" s="3">
        <v>306</v>
      </c>
      <c r="H432" s="3">
        <v>9</v>
      </c>
      <c r="I432" s="5">
        <f t="shared" si="36"/>
        <v>2.8571428571428571E-2</v>
      </c>
      <c r="J432" s="6">
        <f t="shared" si="41"/>
        <v>28571.428571428569</v>
      </c>
      <c r="K432" s="7">
        <v>1.28</v>
      </c>
      <c r="L432" s="3">
        <v>406</v>
      </c>
      <c r="M432" s="3">
        <v>450</v>
      </c>
      <c r="N432" s="3">
        <v>44</v>
      </c>
      <c r="O432" s="5">
        <f t="shared" si="37"/>
        <v>0.90222222222222226</v>
      </c>
      <c r="P432" s="5">
        <f t="shared" si="38"/>
        <v>0.99310344827586206</v>
      </c>
      <c r="Q432" s="5">
        <f t="shared" si="39"/>
        <v>0.97142857142857142</v>
      </c>
      <c r="R432" s="5">
        <f t="shared" si="40"/>
        <v>0.87040000000000006</v>
      </c>
    </row>
    <row r="433" spans="1:18" x14ac:dyDescent="0.25">
      <c r="A433" s="3">
        <v>429</v>
      </c>
      <c r="B433" s="4">
        <v>46232</v>
      </c>
      <c r="C433" s="3" t="s">
        <v>28</v>
      </c>
      <c r="D433" s="3" t="s">
        <v>23</v>
      </c>
      <c r="E433" s="3" t="s">
        <v>20</v>
      </c>
      <c r="F433" s="3">
        <v>467</v>
      </c>
      <c r="G433" s="3">
        <v>447</v>
      </c>
      <c r="H433" s="3">
        <v>20</v>
      </c>
      <c r="I433" s="5">
        <f t="shared" si="36"/>
        <v>4.2826552462526764E-2</v>
      </c>
      <c r="J433" s="6">
        <f t="shared" si="41"/>
        <v>42826.552462526764</v>
      </c>
      <c r="K433" s="7">
        <v>0.85</v>
      </c>
      <c r="L433" s="3">
        <v>419</v>
      </c>
      <c r="M433" s="3">
        <v>450</v>
      </c>
      <c r="N433" s="3">
        <v>31</v>
      </c>
      <c r="O433" s="5">
        <f t="shared" si="37"/>
        <v>0.93111111111111111</v>
      </c>
      <c r="P433" s="5">
        <f t="shared" si="38"/>
        <v>0.94737470167064441</v>
      </c>
      <c r="Q433" s="5">
        <f t="shared" si="39"/>
        <v>0.95717344753747324</v>
      </c>
      <c r="R433" s="5">
        <f t="shared" si="40"/>
        <v>0.84433333333333338</v>
      </c>
    </row>
    <row r="434" spans="1:18" x14ac:dyDescent="0.25">
      <c r="A434" s="3">
        <v>430</v>
      </c>
      <c r="B434" s="4">
        <v>46232</v>
      </c>
      <c r="C434" s="3" t="s">
        <v>30</v>
      </c>
      <c r="D434" s="3" t="s">
        <v>19</v>
      </c>
      <c r="E434" s="3" t="s">
        <v>24</v>
      </c>
      <c r="F434" s="3">
        <v>403</v>
      </c>
      <c r="G434" s="3">
        <v>388</v>
      </c>
      <c r="H434" s="3">
        <v>15</v>
      </c>
      <c r="I434" s="5">
        <f t="shared" si="36"/>
        <v>3.7220843672456573E-2</v>
      </c>
      <c r="J434" s="6">
        <f t="shared" si="41"/>
        <v>37220.843672456576</v>
      </c>
      <c r="K434" s="7">
        <v>0.89</v>
      </c>
      <c r="L434" s="3">
        <v>405</v>
      </c>
      <c r="M434" s="3">
        <v>450</v>
      </c>
      <c r="N434" s="3">
        <v>45</v>
      </c>
      <c r="O434" s="5">
        <f t="shared" si="37"/>
        <v>0.9</v>
      </c>
      <c r="P434" s="5">
        <f t="shared" si="38"/>
        <v>0.88560493827160502</v>
      </c>
      <c r="Q434" s="5">
        <f t="shared" si="39"/>
        <v>0.96277915632754341</v>
      </c>
      <c r="R434" s="5">
        <f t="shared" si="40"/>
        <v>0.76737777777777783</v>
      </c>
    </row>
    <row r="435" spans="1:18" x14ac:dyDescent="0.25">
      <c r="A435" s="3">
        <v>431</v>
      </c>
      <c r="B435" s="4">
        <v>46232</v>
      </c>
      <c r="C435" s="3" t="s">
        <v>30</v>
      </c>
      <c r="D435" s="3" t="s">
        <v>21</v>
      </c>
      <c r="E435" s="3" t="s">
        <v>35</v>
      </c>
      <c r="F435" s="3">
        <v>367</v>
      </c>
      <c r="G435" s="3">
        <v>363</v>
      </c>
      <c r="H435" s="3">
        <v>4</v>
      </c>
      <c r="I435" s="5">
        <f t="shared" si="36"/>
        <v>1.0899182561307902E-2</v>
      </c>
      <c r="J435" s="6">
        <f t="shared" si="41"/>
        <v>10899.182561307902</v>
      </c>
      <c r="K435" s="7">
        <v>1.08</v>
      </c>
      <c r="L435" s="3">
        <v>443</v>
      </c>
      <c r="M435" s="3">
        <v>450</v>
      </c>
      <c r="N435" s="3">
        <v>7</v>
      </c>
      <c r="O435" s="5">
        <f t="shared" si="37"/>
        <v>0.98444444444444446</v>
      </c>
      <c r="P435" s="5">
        <f t="shared" si="38"/>
        <v>0.8947178329571106</v>
      </c>
      <c r="Q435" s="5">
        <f t="shared" si="39"/>
        <v>0.98910081743869205</v>
      </c>
      <c r="R435" s="5">
        <f t="shared" si="40"/>
        <v>0.87119999999999997</v>
      </c>
    </row>
    <row r="436" spans="1:18" x14ac:dyDescent="0.25">
      <c r="A436" s="3">
        <v>432</v>
      </c>
      <c r="B436" s="4">
        <v>46232</v>
      </c>
      <c r="C436" s="3" t="s">
        <v>30</v>
      </c>
      <c r="D436" s="3" t="s">
        <v>23</v>
      </c>
      <c r="E436" s="3" t="s">
        <v>29</v>
      </c>
      <c r="F436" s="3">
        <v>227</v>
      </c>
      <c r="G436" s="3">
        <v>224</v>
      </c>
      <c r="H436" s="3">
        <v>3</v>
      </c>
      <c r="I436" s="5">
        <f t="shared" si="36"/>
        <v>1.3215859030837005E-2</v>
      </c>
      <c r="J436" s="6">
        <f t="shared" si="41"/>
        <v>13215.859030837004</v>
      </c>
      <c r="K436" s="7">
        <v>1.43</v>
      </c>
      <c r="L436" s="3">
        <v>401</v>
      </c>
      <c r="M436" s="3">
        <v>450</v>
      </c>
      <c r="N436" s="3">
        <v>49</v>
      </c>
      <c r="O436" s="5">
        <f t="shared" si="37"/>
        <v>0.89111111111111108</v>
      </c>
      <c r="P436" s="5">
        <f t="shared" si="38"/>
        <v>0.80950124688279301</v>
      </c>
      <c r="Q436" s="5">
        <f t="shared" si="39"/>
        <v>0.986784140969163</v>
      </c>
      <c r="R436" s="5">
        <f t="shared" si="40"/>
        <v>0.71182222222222225</v>
      </c>
    </row>
    <row r="437" spans="1:18" x14ac:dyDescent="0.25">
      <c r="A437" s="3">
        <v>433</v>
      </c>
      <c r="B437" s="4">
        <v>46232</v>
      </c>
      <c r="C437" s="3" t="s">
        <v>33</v>
      </c>
      <c r="D437" s="3" t="s">
        <v>19</v>
      </c>
      <c r="E437" s="3" t="s">
        <v>32</v>
      </c>
      <c r="F437" s="3">
        <v>349</v>
      </c>
      <c r="G437" s="3">
        <v>344</v>
      </c>
      <c r="H437" s="3">
        <v>5</v>
      </c>
      <c r="I437" s="5">
        <f t="shared" si="36"/>
        <v>1.4326647564469915E-2</v>
      </c>
      <c r="J437" s="6">
        <f t="shared" si="41"/>
        <v>14326.647564469915</v>
      </c>
      <c r="K437" s="7">
        <v>1.26</v>
      </c>
      <c r="L437" s="3">
        <v>439</v>
      </c>
      <c r="M437" s="3">
        <v>450</v>
      </c>
      <c r="N437" s="3">
        <v>11</v>
      </c>
      <c r="O437" s="5">
        <f t="shared" si="37"/>
        <v>0.97555555555555551</v>
      </c>
      <c r="P437" s="5">
        <f t="shared" si="38"/>
        <v>1.0016856492027335</v>
      </c>
      <c r="Q437" s="5">
        <f t="shared" si="39"/>
        <v>0.98567335243553011</v>
      </c>
      <c r="R437" s="5">
        <f t="shared" si="40"/>
        <v>0.96319999999999995</v>
      </c>
    </row>
    <row r="438" spans="1:18" x14ac:dyDescent="0.25">
      <c r="A438" s="3">
        <v>434</v>
      </c>
      <c r="B438" s="4">
        <v>46232</v>
      </c>
      <c r="C438" s="3" t="s">
        <v>33</v>
      </c>
      <c r="D438" s="3" t="s">
        <v>21</v>
      </c>
      <c r="E438" s="3" t="s">
        <v>29</v>
      </c>
      <c r="F438" s="3">
        <v>799</v>
      </c>
      <c r="G438" s="3">
        <v>791</v>
      </c>
      <c r="H438" s="3">
        <v>8</v>
      </c>
      <c r="I438" s="5">
        <f t="shared" si="36"/>
        <v>1.0012515644555695E-2</v>
      </c>
      <c r="J438" s="6">
        <f t="shared" si="41"/>
        <v>10012.515644555695</v>
      </c>
      <c r="K438" s="7">
        <v>0.51</v>
      </c>
      <c r="L438" s="3">
        <v>400</v>
      </c>
      <c r="M438" s="3">
        <v>450</v>
      </c>
      <c r="N438" s="3">
        <v>50</v>
      </c>
      <c r="O438" s="5">
        <f t="shared" si="37"/>
        <v>0.88888888888888884</v>
      </c>
      <c r="P438" s="5">
        <f t="shared" si="38"/>
        <v>1.0187250000000001</v>
      </c>
      <c r="Q438" s="5">
        <f t="shared" si="39"/>
        <v>0.98998748435544426</v>
      </c>
      <c r="R438" s="5">
        <f t="shared" si="40"/>
        <v>0.89646666666666674</v>
      </c>
    </row>
    <row r="439" spans="1:18" x14ac:dyDescent="0.25">
      <c r="A439" s="3">
        <v>435</v>
      </c>
      <c r="B439" s="4">
        <v>46232</v>
      </c>
      <c r="C439" s="3" t="s">
        <v>33</v>
      </c>
      <c r="D439" s="3" t="s">
        <v>23</v>
      </c>
      <c r="E439" s="3" t="s">
        <v>35</v>
      </c>
      <c r="F439" s="3">
        <v>600</v>
      </c>
      <c r="G439" s="3">
        <v>576</v>
      </c>
      <c r="H439" s="3">
        <v>24</v>
      </c>
      <c r="I439" s="5">
        <f t="shared" si="36"/>
        <v>0.04</v>
      </c>
      <c r="J439" s="6">
        <f t="shared" si="41"/>
        <v>40000</v>
      </c>
      <c r="K439" s="7">
        <v>0.64</v>
      </c>
      <c r="L439" s="3">
        <v>421</v>
      </c>
      <c r="M439" s="3">
        <v>450</v>
      </c>
      <c r="N439" s="3">
        <v>29</v>
      </c>
      <c r="O439" s="5">
        <f t="shared" si="37"/>
        <v>0.93555555555555558</v>
      </c>
      <c r="P439" s="5">
        <f t="shared" si="38"/>
        <v>0.91211401425178151</v>
      </c>
      <c r="Q439" s="5">
        <f t="shared" si="39"/>
        <v>0.96</v>
      </c>
      <c r="R439" s="5">
        <f t="shared" si="40"/>
        <v>0.81920000000000004</v>
      </c>
    </row>
    <row r="440" spans="1:18" x14ac:dyDescent="0.25">
      <c r="A440" s="3">
        <v>436</v>
      </c>
      <c r="B440" s="4">
        <v>46233</v>
      </c>
      <c r="C440" s="3" t="s">
        <v>18</v>
      </c>
      <c r="D440" s="3" t="s">
        <v>19</v>
      </c>
      <c r="E440" s="3" t="s">
        <v>22</v>
      </c>
      <c r="F440" s="3">
        <v>282</v>
      </c>
      <c r="G440" s="3">
        <v>279</v>
      </c>
      <c r="H440" s="3">
        <v>3</v>
      </c>
      <c r="I440" s="5">
        <f t="shared" si="36"/>
        <v>1.0638297872340425E-2</v>
      </c>
      <c r="J440" s="6">
        <f t="shared" si="41"/>
        <v>10638.297872340425</v>
      </c>
      <c r="K440" s="7">
        <v>1.45</v>
      </c>
      <c r="L440" s="3">
        <v>428</v>
      </c>
      <c r="M440" s="3">
        <v>450</v>
      </c>
      <c r="N440" s="3">
        <v>22</v>
      </c>
      <c r="O440" s="5">
        <f t="shared" si="37"/>
        <v>0.95111111111111113</v>
      </c>
      <c r="P440" s="5">
        <f t="shared" si="38"/>
        <v>0.9553738317757009</v>
      </c>
      <c r="Q440" s="5">
        <f t="shared" si="39"/>
        <v>0.98936170212765961</v>
      </c>
      <c r="R440" s="5">
        <f t="shared" si="40"/>
        <v>0.89900000000000002</v>
      </c>
    </row>
    <row r="441" spans="1:18" x14ac:dyDescent="0.25">
      <c r="A441" s="3">
        <v>437</v>
      </c>
      <c r="B441" s="4">
        <v>46233</v>
      </c>
      <c r="C441" s="3" t="s">
        <v>18</v>
      </c>
      <c r="D441" s="3" t="s">
        <v>21</v>
      </c>
      <c r="E441" s="3" t="s">
        <v>20</v>
      </c>
      <c r="F441" s="3">
        <v>372</v>
      </c>
      <c r="G441" s="3">
        <v>367</v>
      </c>
      <c r="H441" s="3">
        <v>5</v>
      </c>
      <c r="I441" s="5">
        <f t="shared" si="36"/>
        <v>1.3440860215053764E-2</v>
      </c>
      <c r="J441" s="6">
        <f t="shared" si="41"/>
        <v>13440.860215053764</v>
      </c>
      <c r="K441" s="7">
        <v>0.87</v>
      </c>
      <c r="L441" s="3">
        <v>397</v>
      </c>
      <c r="M441" s="3">
        <v>450</v>
      </c>
      <c r="N441" s="3">
        <v>53</v>
      </c>
      <c r="O441" s="5">
        <f t="shared" si="37"/>
        <v>0.88222222222222224</v>
      </c>
      <c r="P441" s="5">
        <f t="shared" si="38"/>
        <v>0.81521410579345088</v>
      </c>
      <c r="Q441" s="5">
        <f t="shared" si="39"/>
        <v>0.98655913978494625</v>
      </c>
      <c r="R441" s="5">
        <f t="shared" si="40"/>
        <v>0.70953333333333335</v>
      </c>
    </row>
    <row r="442" spans="1:18" x14ac:dyDescent="0.25">
      <c r="A442" s="3">
        <v>438</v>
      </c>
      <c r="B442" s="4">
        <v>46233</v>
      </c>
      <c r="C442" s="3" t="s">
        <v>18</v>
      </c>
      <c r="D442" s="3" t="s">
        <v>23</v>
      </c>
      <c r="E442" s="3" t="s">
        <v>24</v>
      </c>
      <c r="F442" s="3">
        <v>422</v>
      </c>
      <c r="G442" s="3">
        <v>411</v>
      </c>
      <c r="H442" s="3">
        <v>11</v>
      </c>
      <c r="I442" s="5">
        <f t="shared" si="36"/>
        <v>2.6066350710900472E-2</v>
      </c>
      <c r="J442" s="6">
        <f t="shared" si="41"/>
        <v>26066.350710900471</v>
      </c>
      <c r="K442" s="7">
        <v>0.8</v>
      </c>
      <c r="L442" s="3">
        <v>416</v>
      </c>
      <c r="M442" s="3">
        <v>450</v>
      </c>
      <c r="N442" s="3">
        <v>34</v>
      </c>
      <c r="O442" s="5">
        <f t="shared" si="37"/>
        <v>0.9244444444444444</v>
      </c>
      <c r="P442" s="5">
        <f t="shared" si="38"/>
        <v>0.81153846153846154</v>
      </c>
      <c r="Q442" s="5">
        <f t="shared" si="39"/>
        <v>0.97393364928909953</v>
      </c>
      <c r="R442" s="5">
        <f t="shared" si="40"/>
        <v>0.73066666666666669</v>
      </c>
    </row>
    <row r="443" spans="1:18" x14ac:dyDescent="0.25">
      <c r="A443" s="3">
        <v>439</v>
      </c>
      <c r="B443" s="4">
        <v>46233</v>
      </c>
      <c r="C443" s="3" t="s">
        <v>25</v>
      </c>
      <c r="D443" s="3" t="s">
        <v>19</v>
      </c>
      <c r="E443" s="3" t="s">
        <v>27</v>
      </c>
      <c r="F443" s="3">
        <v>286</v>
      </c>
      <c r="G443" s="3">
        <v>276</v>
      </c>
      <c r="H443" s="3">
        <v>10</v>
      </c>
      <c r="I443" s="5">
        <f t="shared" si="36"/>
        <v>3.4965034965034968E-2</v>
      </c>
      <c r="J443" s="6">
        <f t="shared" si="41"/>
        <v>34965.034965034967</v>
      </c>
      <c r="K443" s="7">
        <v>1.37</v>
      </c>
      <c r="L443" s="3">
        <v>436</v>
      </c>
      <c r="M443" s="3">
        <v>450</v>
      </c>
      <c r="N443" s="3">
        <v>14</v>
      </c>
      <c r="O443" s="5">
        <f t="shared" si="37"/>
        <v>0.96888888888888891</v>
      </c>
      <c r="P443" s="5">
        <f t="shared" si="38"/>
        <v>0.89866972477064233</v>
      </c>
      <c r="Q443" s="5">
        <f t="shared" si="39"/>
        <v>0.965034965034965</v>
      </c>
      <c r="R443" s="5">
        <f t="shared" si="40"/>
        <v>0.84026666666666672</v>
      </c>
    </row>
    <row r="444" spans="1:18" x14ac:dyDescent="0.25">
      <c r="A444" s="3">
        <v>440</v>
      </c>
      <c r="B444" s="4">
        <v>46233</v>
      </c>
      <c r="C444" s="3" t="s">
        <v>25</v>
      </c>
      <c r="D444" s="3" t="s">
        <v>21</v>
      </c>
      <c r="E444" s="3" t="s">
        <v>31</v>
      </c>
      <c r="F444" s="3">
        <v>303</v>
      </c>
      <c r="G444" s="3">
        <v>296</v>
      </c>
      <c r="H444" s="3">
        <v>7</v>
      </c>
      <c r="I444" s="5">
        <f t="shared" si="36"/>
        <v>2.3102310231023101E-2</v>
      </c>
      <c r="J444" s="6">
        <f t="shared" si="41"/>
        <v>23102.310231023101</v>
      </c>
      <c r="K444" s="7">
        <v>1.43</v>
      </c>
      <c r="L444" s="3">
        <v>441</v>
      </c>
      <c r="M444" s="3">
        <v>450</v>
      </c>
      <c r="N444" s="3">
        <v>9</v>
      </c>
      <c r="O444" s="5">
        <f t="shared" si="37"/>
        <v>0.98</v>
      </c>
      <c r="P444" s="5">
        <f t="shared" si="38"/>
        <v>0.98251700680272103</v>
      </c>
      <c r="Q444" s="5">
        <f t="shared" si="39"/>
        <v>0.97689768976897695</v>
      </c>
      <c r="R444" s="5">
        <f t="shared" si="40"/>
        <v>0.94062222222222214</v>
      </c>
    </row>
    <row r="445" spans="1:18" x14ac:dyDescent="0.25">
      <c r="A445" s="3">
        <v>441</v>
      </c>
      <c r="B445" s="4">
        <v>46233</v>
      </c>
      <c r="C445" s="3" t="s">
        <v>25</v>
      </c>
      <c r="D445" s="3" t="s">
        <v>23</v>
      </c>
      <c r="E445" s="3" t="s">
        <v>24</v>
      </c>
      <c r="F445" s="3">
        <v>242</v>
      </c>
      <c r="G445" s="3">
        <v>239</v>
      </c>
      <c r="H445" s="3">
        <v>3</v>
      </c>
      <c r="I445" s="5">
        <f t="shared" si="36"/>
        <v>1.2396694214876033E-2</v>
      </c>
      <c r="J445" s="6">
        <f t="shared" si="41"/>
        <v>12396.694214876034</v>
      </c>
      <c r="K445" s="7">
        <v>1.54</v>
      </c>
      <c r="L445" s="3">
        <v>429</v>
      </c>
      <c r="M445" s="3">
        <v>450</v>
      </c>
      <c r="N445" s="3">
        <v>21</v>
      </c>
      <c r="O445" s="5">
        <f t="shared" si="37"/>
        <v>0.95333333333333337</v>
      </c>
      <c r="P445" s="5">
        <f t="shared" si="38"/>
        <v>0.86871794871794872</v>
      </c>
      <c r="Q445" s="5">
        <f t="shared" si="39"/>
        <v>0.98760330578512401</v>
      </c>
      <c r="R445" s="5">
        <f t="shared" si="40"/>
        <v>0.81791111111111114</v>
      </c>
    </row>
    <row r="446" spans="1:18" x14ac:dyDescent="0.25">
      <c r="A446" s="3">
        <v>442</v>
      </c>
      <c r="B446" s="4">
        <v>46233</v>
      </c>
      <c r="C446" s="3" t="s">
        <v>28</v>
      </c>
      <c r="D446" s="3" t="s">
        <v>19</v>
      </c>
      <c r="E446" s="3" t="s">
        <v>22</v>
      </c>
      <c r="F446" s="3">
        <v>367</v>
      </c>
      <c r="G446" s="3">
        <v>362</v>
      </c>
      <c r="H446" s="3">
        <v>5</v>
      </c>
      <c r="I446" s="5">
        <f t="shared" si="36"/>
        <v>1.3623978201634877E-2</v>
      </c>
      <c r="J446" s="6">
        <f t="shared" si="41"/>
        <v>13623.978201634878</v>
      </c>
      <c r="K446" s="7">
        <v>1.03</v>
      </c>
      <c r="L446" s="3">
        <v>431</v>
      </c>
      <c r="M446" s="3">
        <v>450</v>
      </c>
      <c r="N446" s="3">
        <v>19</v>
      </c>
      <c r="O446" s="5">
        <f t="shared" si="37"/>
        <v>0.95777777777777773</v>
      </c>
      <c r="P446" s="5">
        <f t="shared" si="38"/>
        <v>0.87705336426914149</v>
      </c>
      <c r="Q446" s="5">
        <f t="shared" si="39"/>
        <v>0.98637602179836514</v>
      </c>
      <c r="R446" s="5">
        <f t="shared" si="40"/>
        <v>0.82857777777777764</v>
      </c>
    </row>
    <row r="447" spans="1:18" x14ac:dyDescent="0.25">
      <c r="A447" s="3">
        <v>443</v>
      </c>
      <c r="B447" s="4">
        <v>46233</v>
      </c>
      <c r="C447" s="3" t="s">
        <v>28</v>
      </c>
      <c r="D447" s="3" t="s">
        <v>21</v>
      </c>
      <c r="E447" s="3" t="s">
        <v>20</v>
      </c>
      <c r="F447" s="3">
        <v>256</v>
      </c>
      <c r="G447" s="3">
        <v>254</v>
      </c>
      <c r="H447" s="3">
        <v>2</v>
      </c>
      <c r="I447" s="5">
        <f t="shared" si="36"/>
        <v>7.8125E-3</v>
      </c>
      <c r="J447" s="6">
        <f t="shared" si="41"/>
        <v>7812.5</v>
      </c>
      <c r="K447" s="7">
        <v>1.44</v>
      </c>
      <c r="L447" s="3">
        <v>435</v>
      </c>
      <c r="M447" s="3">
        <v>450</v>
      </c>
      <c r="N447" s="3">
        <v>15</v>
      </c>
      <c r="O447" s="5">
        <f t="shared" si="37"/>
        <v>0.96666666666666667</v>
      </c>
      <c r="P447" s="5">
        <f t="shared" si="38"/>
        <v>0.84744827586206894</v>
      </c>
      <c r="Q447" s="5">
        <f t="shared" si="39"/>
        <v>0.9921875</v>
      </c>
      <c r="R447" s="5">
        <f t="shared" si="40"/>
        <v>0.81280000000000008</v>
      </c>
    </row>
    <row r="448" spans="1:18" x14ac:dyDescent="0.25">
      <c r="A448" s="3">
        <v>444</v>
      </c>
      <c r="B448" s="4">
        <v>46233</v>
      </c>
      <c r="C448" s="3" t="s">
        <v>28</v>
      </c>
      <c r="D448" s="3" t="s">
        <v>23</v>
      </c>
      <c r="E448" s="3" t="s">
        <v>31</v>
      </c>
      <c r="F448" s="3">
        <v>368</v>
      </c>
      <c r="G448" s="3">
        <v>361</v>
      </c>
      <c r="H448" s="3">
        <v>7</v>
      </c>
      <c r="I448" s="5">
        <f t="shared" si="36"/>
        <v>1.9021739130434784E-2</v>
      </c>
      <c r="J448" s="6">
        <f t="shared" si="41"/>
        <v>19021.739130434784</v>
      </c>
      <c r="K448" s="7">
        <v>0.99</v>
      </c>
      <c r="L448" s="3">
        <v>426</v>
      </c>
      <c r="M448" s="3">
        <v>450</v>
      </c>
      <c r="N448" s="3">
        <v>24</v>
      </c>
      <c r="O448" s="5">
        <f t="shared" si="37"/>
        <v>0.94666666666666666</v>
      </c>
      <c r="P448" s="5">
        <f t="shared" si="38"/>
        <v>0.85521126760563382</v>
      </c>
      <c r="Q448" s="5">
        <f t="shared" si="39"/>
        <v>0.98097826086956519</v>
      </c>
      <c r="R448" s="5">
        <f t="shared" si="40"/>
        <v>0.79420000000000002</v>
      </c>
    </row>
    <row r="449" spans="1:18" x14ac:dyDescent="0.25">
      <c r="A449" s="3">
        <v>445</v>
      </c>
      <c r="B449" s="4">
        <v>46233</v>
      </c>
      <c r="C449" s="3" t="s">
        <v>30</v>
      </c>
      <c r="D449" s="3" t="s">
        <v>19</v>
      </c>
      <c r="E449" s="3" t="s">
        <v>32</v>
      </c>
      <c r="F449" s="3">
        <v>606</v>
      </c>
      <c r="G449" s="3">
        <v>592</v>
      </c>
      <c r="H449" s="3">
        <v>14</v>
      </c>
      <c r="I449" s="5">
        <f t="shared" si="36"/>
        <v>2.3102310231023101E-2</v>
      </c>
      <c r="J449" s="6">
        <f t="shared" si="41"/>
        <v>23102.310231023101</v>
      </c>
      <c r="K449" s="7">
        <v>0.69</v>
      </c>
      <c r="L449" s="3">
        <v>413</v>
      </c>
      <c r="M449" s="3">
        <v>450</v>
      </c>
      <c r="N449" s="3">
        <v>37</v>
      </c>
      <c r="O449" s="5">
        <f t="shared" si="37"/>
        <v>0.9177777777777778</v>
      </c>
      <c r="P449" s="5">
        <f t="shared" si="38"/>
        <v>1.0124455205811138</v>
      </c>
      <c r="Q449" s="5">
        <f t="shared" si="39"/>
        <v>0.97689768976897695</v>
      </c>
      <c r="R449" s="5">
        <f t="shared" si="40"/>
        <v>0.90773333333333339</v>
      </c>
    </row>
    <row r="450" spans="1:18" x14ac:dyDescent="0.25">
      <c r="A450" s="3">
        <v>446</v>
      </c>
      <c r="B450" s="4">
        <v>46233</v>
      </c>
      <c r="C450" s="3" t="s">
        <v>30</v>
      </c>
      <c r="D450" s="3" t="s">
        <v>21</v>
      </c>
      <c r="E450" s="3" t="s">
        <v>35</v>
      </c>
      <c r="F450" s="3">
        <v>310</v>
      </c>
      <c r="G450" s="3">
        <v>296</v>
      </c>
      <c r="H450" s="3">
        <v>14</v>
      </c>
      <c r="I450" s="5">
        <f t="shared" si="36"/>
        <v>4.5161290322580643E-2</v>
      </c>
      <c r="J450" s="6">
        <f t="shared" si="41"/>
        <v>45161.290322580644</v>
      </c>
      <c r="K450" s="7">
        <v>1.28</v>
      </c>
      <c r="L450" s="3">
        <v>399</v>
      </c>
      <c r="M450" s="3">
        <v>450</v>
      </c>
      <c r="N450" s="3">
        <v>51</v>
      </c>
      <c r="O450" s="5">
        <f t="shared" si="37"/>
        <v>0.88666666666666671</v>
      </c>
      <c r="P450" s="5">
        <f t="shared" si="38"/>
        <v>0.9944862155388472</v>
      </c>
      <c r="Q450" s="5">
        <f t="shared" si="39"/>
        <v>0.95483870967741935</v>
      </c>
      <c r="R450" s="5">
        <f t="shared" si="40"/>
        <v>0.84195555555555568</v>
      </c>
    </row>
    <row r="451" spans="1:18" x14ac:dyDescent="0.25">
      <c r="A451" s="3">
        <v>447</v>
      </c>
      <c r="B451" s="4">
        <v>46233</v>
      </c>
      <c r="C451" s="3" t="s">
        <v>30</v>
      </c>
      <c r="D451" s="3" t="s">
        <v>23</v>
      </c>
      <c r="E451" s="3" t="s">
        <v>35</v>
      </c>
      <c r="F451" s="3">
        <v>340</v>
      </c>
      <c r="G451" s="3">
        <v>328</v>
      </c>
      <c r="H451" s="3">
        <v>12</v>
      </c>
      <c r="I451" s="5">
        <f t="shared" si="36"/>
        <v>3.5294117647058823E-2</v>
      </c>
      <c r="J451" s="6">
        <f t="shared" si="41"/>
        <v>35294.117647058825</v>
      </c>
      <c r="K451" s="7">
        <v>1.24</v>
      </c>
      <c r="L451" s="3">
        <v>419</v>
      </c>
      <c r="M451" s="3">
        <v>450</v>
      </c>
      <c r="N451" s="3">
        <v>31</v>
      </c>
      <c r="O451" s="5">
        <f t="shared" si="37"/>
        <v>0.93111111111111111</v>
      </c>
      <c r="P451" s="5">
        <f t="shared" si="38"/>
        <v>1.0062052505966588</v>
      </c>
      <c r="Q451" s="5">
        <f t="shared" si="39"/>
        <v>0.96470588235294119</v>
      </c>
      <c r="R451" s="5">
        <f t="shared" si="40"/>
        <v>0.9038222222222223</v>
      </c>
    </row>
    <row r="452" spans="1:18" x14ac:dyDescent="0.25">
      <c r="A452" s="3">
        <v>448</v>
      </c>
      <c r="B452" s="4">
        <v>46233</v>
      </c>
      <c r="C452" s="3" t="s">
        <v>33</v>
      </c>
      <c r="D452" s="3" t="s">
        <v>19</v>
      </c>
      <c r="E452" s="3" t="s">
        <v>32</v>
      </c>
      <c r="F452" s="3">
        <v>306</v>
      </c>
      <c r="G452" s="3">
        <v>305</v>
      </c>
      <c r="H452" s="3">
        <v>1</v>
      </c>
      <c r="I452" s="5">
        <f t="shared" si="36"/>
        <v>3.2679738562091504E-3</v>
      </c>
      <c r="J452" s="6">
        <f t="shared" si="41"/>
        <v>3267.9738562091502</v>
      </c>
      <c r="K452" s="7">
        <v>1.02</v>
      </c>
      <c r="L452" s="3">
        <v>391</v>
      </c>
      <c r="M452" s="3">
        <v>450</v>
      </c>
      <c r="N452" s="3">
        <v>59</v>
      </c>
      <c r="O452" s="5">
        <f t="shared" si="37"/>
        <v>0.86888888888888893</v>
      </c>
      <c r="P452" s="5">
        <f t="shared" si="38"/>
        <v>0.79826086956521736</v>
      </c>
      <c r="Q452" s="5">
        <f t="shared" si="39"/>
        <v>0.99673202614379086</v>
      </c>
      <c r="R452" s="5">
        <f t="shared" si="40"/>
        <v>0.69133333333333336</v>
      </c>
    </row>
    <row r="453" spans="1:18" x14ac:dyDescent="0.25">
      <c r="A453" s="3">
        <v>449</v>
      </c>
      <c r="B453" s="4">
        <v>46233</v>
      </c>
      <c r="C453" s="3" t="s">
        <v>33</v>
      </c>
      <c r="D453" s="3" t="s">
        <v>21</v>
      </c>
      <c r="E453" s="3" t="s">
        <v>31</v>
      </c>
      <c r="F453" s="3">
        <v>353</v>
      </c>
      <c r="G453" s="3">
        <v>344</v>
      </c>
      <c r="H453" s="3">
        <v>9</v>
      </c>
      <c r="I453" s="5">
        <f t="shared" ref="I453:I469" si="42">IFERROR(H453/F453,0)</f>
        <v>2.5495750708215296E-2</v>
      </c>
      <c r="J453" s="6">
        <f t="shared" si="41"/>
        <v>25495.750708215295</v>
      </c>
      <c r="K453" s="7">
        <v>1.04</v>
      </c>
      <c r="L453" s="3">
        <v>417</v>
      </c>
      <c r="M453" s="3">
        <v>450</v>
      </c>
      <c r="N453" s="3">
        <v>33</v>
      </c>
      <c r="O453" s="5">
        <f t="shared" ref="O453:O469" si="43">IFERROR(L453/M453,0)</f>
        <v>0.92666666666666664</v>
      </c>
      <c r="P453" s="5">
        <f t="shared" ref="P453:P469" si="44">IFERROR(F453*K453/L453,0)</f>
        <v>0.88038369304556352</v>
      </c>
      <c r="Q453" s="5">
        <f t="shared" ref="Q453:Q469" si="45">IFERROR(G453/F453,0)</f>
        <v>0.9745042492917847</v>
      </c>
      <c r="R453" s="5">
        <f t="shared" ref="R453:R469" si="46">O453*P453*Q453</f>
        <v>0.79502222222222207</v>
      </c>
    </row>
    <row r="454" spans="1:18" x14ac:dyDescent="0.25">
      <c r="A454" s="3">
        <v>450</v>
      </c>
      <c r="B454" s="4">
        <v>46233</v>
      </c>
      <c r="C454" s="3" t="s">
        <v>33</v>
      </c>
      <c r="D454" s="3" t="s">
        <v>23</v>
      </c>
      <c r="E454" s="3" t="s">
        <v>29</v>
      </c>
      <c r="F454" s="3">
        <v>356</v>
      </c>
      <c r="G454" s="3">
        <v>353</v>
      </c>
      <c r="H454" s="3">
        <v>3</v>
      </c>
      <c r="I454" s="5">
        <f t="shared" si="42"/>
        <v>8.4269662921348312E-3</v>
      </c>
      <c r="J454" s="6">
        <f t="shared" ref="J454:J469" si="47">H454/F454*1000000</f>
        <v>8426.9662921348317</v>
      </c>
      <c r="K454" s="7">
        <v>1.1499999999999999</v>
      </c>
      <c r="L454" s="3">
        <v>415</v>
      </c>
      <c r="M454" s="3">
        <v>450</v>
      </c>
      <c r="N454" s="3">
        <v>35</v>
      </c>
      <c r="O454" s="5">
        <f t="shared" si="43"/>
        <v>0.92222222222222228</v>
      </c>
      <c r="P454" s="5">
        <f t="shared" si="44"/>
        <v>0.98650602409638544</v>
      </c>
      <c r="Q454" s="5">
        <f t="shared" si="45"/>
        <v>0.9915730337078652</v>
      </c>
      <c r="R454" s="5">
        <f t="shared" si="46"/>
        <v>0.90211111111111109</v>
      </c>
    </row>
    <row r="455" spans="1:18" x14ac:dyDescent="0.25">
      <c r="A455" s="3">
        <v>451</v>
      </c>
      <c r="B455" s="4">
        <v>46234</v>
      </c>
      <c r="C455" s="3" t="s">
        <v>18</v>
      </c>
      <c r="D455" s="3" t="s">
        <v>19</v>
      </c>
      <c r="E455" s="3" t="s">
        <v>20</v>
      </c>
      <c r="F455" s="3">
        <v>631</v>
      </c>
      <c r="G455" s="3">
        <v>603</v>
      </c>
      <c r="H455" s="3">
        <v>28</v>
      </c>
      <c r="I455" s="5">
        <f t="shared" si="42"/>
        <v>4.4374009508716325E-2</v>
      </c>
      <c r="J455" s="6">
        <f t="shared" si="47"/>
        <v>44374.009508716328</v>
      </c>
      <c r="K455" s="7">
        <v>0.68</v>
      </c>
      <c r="L455" s="3">
        <v>433</v>
      </c>
      <c r="M455" s="3">
        <v>450</v>
      </c>
      <c r="N455" s="3">
        <v>17</v>
      </c>
      <c r="O455" s="5">
        <f t="shared" si="43"/>
        <v>0.9622222222222222</v>
      </c>
      <c r="P455" s="5">
        <f t="shared" si="44"/>
        <v>0.99094688221709015</v>
      </c>
      <c r="Q455" s="5">
        <f t="shared" si="45"/>
        <v>0.95562599049128372</v>
      </c>
      <c r="R455" s="5">
        <f t="shared" si="46"/>
        <v>0.91120000000000012</v>
      </c>
    </row>
    <row r="456" spans="1:18" x14ac:dyDescent="0.25">
      <c r="A456" s="3">
        <v>452</v>
      </c>
      <c r="B456" s="4">
        <v>46234</v>
      </c>
      <c r="C456" s="3" t="s">
        <v>18</v>
      </c>
      <c r="D456" s="3" t="s">
        <v>21</v>
      </c>
      <c r="E456" s="3" t="s">
        <v>32</v>
      </c>
      <c r="F456" s="3">
        <v>245</v>
      </c>
      <c r="G456" s="3">
        <v>241</v>
      </c>
      <c r="H456" s="3">
        <v>4</v>
      </c>
      <c r="I456" s="5">
        <f t="shared" si="42"/>
        <v>1.6326530612244899E-2</v>
      </c>
      <c r="J456" s="6">
        <f t="shared" si="47"/>
        <v>16326.5306122449</v>
      </c>
      <c r="K456" s="7">
        <v>1.62</v>
      </c>
      <c r="L456" s="3">
        <v>397</v>
      </c>
      <c r="M456" s="3">
        <v>450</v>
      </c>
      <c r="N456" s="3">
        <v>53</v>
      </c>
      <c r="O456" s="5">
        <f t="shared" si="43"/>
        <v>0.88222222222222224</v>
      </c>
      <c r="P456" s="5">
        <f t="shared" si="44"/>
        <v>0.99974811083123438</v>
      </c>
      <c r="Q456" s="5">
        <f t="shared" si="45"/>
        <v>0.98367346938775513</v>
      </c>
      <c r="R456" s="5">
        <f t="shared" si="46"/>
        <v>0.86760000000000015</v>
      </c>
    </row>
    <row r="457" spans="1:18" x14ac:dyDescent="0.25">
      <c r="A457" s="3">
        <v>453</v>
      </c>
      <c r="B457" s="4">
        <v>46234</v>
      </c>
      <c r="C457" s="3" t="s">
        <v>18</v>
      </c>
      <c r="D457" s="3" t="s">
        <v>23</v>
      </c>
      <c r="E457" s="3" t="s">
        <v>31</v>
      </c>
      <c r="F457" s="3">
        <v>400</v>
      </c>
      <c r="G457" s="3">
        <v>383</v>
      </c>
      <c r="H457" s="3">
        <v>17</v>
      </c>
      <c r="I457" s="5">
        <f t="shared" si="42"/>
        <v>4.2500000000000003E-2</v>
      </c>
      <c r="J457" s="6">
        <f t="shared" si="47"/>
        <v>42500</v>
      </c>
      <c r="K457" s="7">
        <v>0.93</v>
      </c>
      <c r="L457" s="3">
        <v>400</v>
      </c>
      <c r="M457" s="3">
        <v>450</v>
      </c>
      <c r="N457" s="3">
        <v>50</v>
      </c>
      <c r="O457" s="5">
        <f t="shared" si="43"/>
        <v>0.88888888888888884</v>
      </c>
      <c r="P457" s="5">
        <f t="shared" si="44"/>
        <v>0.93</v>
      </c>
      <c r="Q457" s="5">
        <f t="shared" si="45"/>
        <v>0.95750000000000002</v>
      </c>
      <c r="R457" s="5">
        <f t="shared" si="46"/>
        <v>0.79153333333333331</v>
      </c>
    </row>
    <row r="458" spans="1:18" x14ac:dyDescent="0.25">
      <c r="A458" s="3">
        <v>454</v>
      </c>
      <c r="B458" s="4">
        <v>46234</v>
      </c>
      <c r="C458" s="3" t="s">
        <v>25</v>
      </c>
      <c r="D458" s="3" t="s">
        <v>19</v>
      </c>
      <c r="E458" s="3" t="s">
        <v>26</v>
      </c>
      <c r="F458" s="3">
        <v>463</v>
      </c>
      <c r="G458" s="3">
        <v>456</v>
      </c>
      <c r="H458" s="3">
        <v>7</v>
      </c>
      <c r="I458" s="5">
        <f t="shared" si="42"/>
        <v>1.511879049676026E-2</v>
      </c>
      <c r="J458" s="6">
        <f t="shared" si="47"/>
        <v>15118.790496760259</v>
      </c>
      <c r="K458" s="7">
        <v>0.85</v>
      </c>
      <c r="L458" s="3">
        <v>429</v>
      </c>
      <c r="M458" s="3">
        <v>450</v>
      </c>
      <c r="N458" s="3">
        <v>21</v>
      </c>
      <c r="O458" s="5">
        <f t="shared" si="43"/>
        <v>0.95333333333333337</v>
      </c>
      <c r="P458" s="5">
        <f t="shared" si="44"/>
        <v>0.91736596736596743</v>
      </c>
      <c r="Q458" s="5">
        <f t="shared" si="45"/>
        <v>0.98488120950323976</v>
      </c>
      <c r="R458" s="5">
        <f t="shared" si="46"/>
        <v>0.8613333333333334</v>
      </c>
    </row>
    <row r="459" spans="1:18" x14ac:dyDescent="0.25">
      <c r="A459" s="3">
        <v>455</v>
      </c>
      <c r="B459" s="4">
        <v>46234</v>
      </c>
      <c r="C459" s="3" t="s">
        <v>25</v>
      </c>
      <c r="D459" s="3" t="s">
        <v>21</v>
      </c>
      <c r="E459" s="3" t="s">
        <v>24</v>
      </c>
      <c r="F459" s="3">
        <v>572</v>
      </c>
      <c r="G459" s="3">
        <v>547</v>
      </c>
      <c r="H459" s="3">
        <v>25</v>
      </c>
      <c r="I459" s="5">
        <f t="shared" si="42"/>
        <v>4.3706293706293704E-2</v>
      </c>
      <c r="J459" s="6">
        <f t="shared" si="47"/>
        <v>43706.293706293705</v>
      </c>
      <c r="K459" s="7">
        <v>0.6</v>
      </c>
      <c r="L459" s="3">
        <v>432</v>
      </c>
      <c r="M459" s="3">
        <v>450</v>
      </c>
      <c r="N459" s="3">
        <v>18</v>
      </c>
      <c r="O459" s="5">
        <f t="shared" si="43"/>
        <v>0.96</v>
      </c>
      <c r="P459" s="5">
        <f t="shared" si="44"/>
        <v>0.7944444444444444</v>
      </c>
      <c r="Q459" s="5">
        <f t="shared" si="45"/>
        <v>0.95629370629370625</v>
      </c>
      <c r="R459" s="5">
        <f t="shared" si="46"/>
        <v>0.72933333333333328</v>
      </c>
    </row>
    <row r="460" spans="1:18" x14ac:dyDescent="0.25">
      <c r="A460" s="3">
        <v>456</v>
      </c>
      <c r="B460" s="4">
        <v>46234</v>
      </c>
      <c r="C460" s="3" t="s">
        <v>25</v>
      </c>
      <c r="D460" s="3" t="s">
        <v>23</v>
      </c>
      <c r="E460" s="3" t="s">
        <v>22</v>
      </c>
      <c r="F460" s="3">
        <v>461</v>
      </c>
      <c r="G460" s="3">
        <v>446</v>
      </c>
      <c r="H460" s="3">
        <v>15</v>
      </c>
      <c r="I460" s="5">
        <f t="shared" si="42"/>
        <v>3.2537960954446853E-2</v>
      </c>
      <c r="J460" s="6">
        <f t="shared" si="47"/>
        <v>32537.960954446851</v>
      </c>
      <c r="K460" s="7">
        <v>0.93</v>
      </c>
      <c r="L460" s="3">
        <v>434</v>
      </c>
      <c r="M460" s="3">
        <v>450</v>
      </c>
      <c r="N460" s="3">
        <v>16</v>
      </c>
      <c r="O460" s="5">
        <f t="shared" si="43"/>
        <v>0.96444444444444444</v>
      </c>
      <c r="P460" s="5">
        <f t="shared" si="44"/>
        <v>0.98785714285714288</v>
      </c>
      <c r="Q460" s="5">
        <f t="shared" si="45"/>
        <v>0.96746203904555317</v>
      </c>
      <c r="R460" s="5">
        <f t="shared" si="46"/>
        <v>0.92173333333333329</v>
      </c>
    </row>
    <row r="461" spans="1:18" x14ac:dyDescent="0.25">
      <c r="A461" s="3">
        <v>457</v>
      </c>
      <c r="B461" s="4">
        <v>46234</v>
      </c>
      <c r="C461" s="3" t="s">
        <v>28</v>
      </c>
      <c r="D461" s="3" t="s">
        <v>19</v>
      </c>
      <c r="E461" s="3" t="s">
        <v>32</v>
      </c>
      <c r="F461" s="3">
        <v>624</v>
      </c>
      <c r="G461" s="3">
        <v>615</v>
      </c>
      <c r="H461" s="3">
        <v>9</v>
      </c>
      <c r="I461" s="5">
        <f t="shared" si="42"/>
        <v>1.4423076923076924E-2</v>
      </c>
      <c r="J461" s="6">
        <f t="shared" si="47"/>
        <v>14423.076923076924</v>
      </c>
      <c r="K461" s="7">
        <v>0.63</v>
      </c>
      <c r="L461" s="3">
        <v>400</v>
      </c>
      <c r="M461" s="3">
        <v>450</v>
      </c>
      <c r="N461" s="3">
        <v>50</v>
      </c>
      <c r="O461" s="5">
        <f t="shared" si="43"/>
        <v>0.88888888888888884</v>
      </c>
      <c r="P461" s="5">
        <f t="shared" si="44"/>
        <v>0.98280000000000001</v>
      </c>
      <c r="Q461" s="5">
        <f t="shared" si="45"/>
        <v>0.98557692307692313</v>
      </c>
      <c r="R461" s="5">
        <f t="shared" si="46"/>
        <v>0.86099999999999999</v>
      </c>
    </row>
    <row r="462" spans="1:18" x14ac:dyDescent="0.25">
      <c r="A462" s="3">
        <v>458</v>
      </c>
      <c r="B462" s="4">
        <v>46234</v>
      </c>
      <c r="C462" s="3" t="s">
        <v>28</v>
      </c>
      <c r="D462" s="3" t="s">
        <v>21</v>
      </c>
      <c r="E462" s="3" t="s">
        <v>22</v>
      </c>
      <c r="F462" s="3">
        <v>212</v>
      </c>
      <c r="G462" s="3">
        <v>205</v>
      </c>
      <c r="H462" s="3">
        <v>7</v>
      </c>
      <c r="I462" s="5">
        <f t="shared" si="42"/>
        <v>3.3018867924528301E-2</v>
      </c>
      <c r="J462" s="6">
        <f t="shared" si="47"/>
        <v>33018.867924528298</v>
      </c>
      <c r="K462" s="7">
        <v>1.67</v>
      </c>
      <c r="L462" s="3">
        <v>435</v>
      </c>
      <c r="M462" s="3">
        <v>450</v>
      </c>
      <c r="N462" s="3">
        <v>15</v>
      </c>
      <c r="O462" s="5">
        <f t="shared" si="43"/>
        <v>0.96666666666666667</v>
      </c>
      <c r="P462" s="5">
        <f t="shared" si="44"/>
        <v>0.81388505747126427</v>
      </c>
      <c r="Q462" s="5">
        <f t="shared" si="45"/>
        <v>0.96698113207547165</v>
      </c>
      <c r="R462" s="5">
        <f t="shared" si="46"/>
        <v>0.76077777777777766</v>
      </c>
    </row>
    <row r="463" spans="1:18" x14ac:dyDescent="0.25">
      <c r="A463" s="3">
        <v>459</v>
      </c>
      <c r="B463" s="4">
        <v>46234</v>
      </c>
      <c r="C463" s="3" t="s">
        <v>28</v>
      </c>
      <c r="D463" s="3" t="s">
        <v>23</v>
      </c>
      <c r="E463" s="3" t="s">
        <v>29</v>
      </c>
      <c r="F463" s="3">
        <v>233</v>
      </c>
      <c r="G463" s="3">
        <v>223</v>
      </c>
      <c r="H463" s="3">
        <v>10</v>
      </c>
      <c r="I463" s="5">
        <f t="shared" si="42"/>
        <v>4.2918454935622317E-2</v>
      </c>
      <c r="J463" s="6">
        <f t="shared" si="47"/>
        <v>42918.454935622314</v>
      </c>
      <c r="K463" s="7">
        <v>1.53</v>
      </c>
      <c r="L463" s="3">
        <v>420</v>
      </c>
      <c r="M463" s="3">
        <v>450</v>
      </c>
      <c r="N463" s="3">
        <v>30</v>
      </c>
      <c r="O463" s="5">
        <f t="shared" si="43"/>
        <v>0.93333333333333335</v>
      </c>
      <c r="P463" s="5">
        <f t="shared" si="44"/>
        <v>0.84878571428571425</v>
      </c>
      <c r="Q463" s="5">
        <f t="shared" si="45"/>
        <v>0.9570815450643777</v>
      </c>
      <c r="R463" s="5">
        <f t="shared" si="46"/>
        <v>0.75819999999999999</v>
      </c>
    </row>
    <row r="464" spans="1:18" x14ac:dyDescent="0.25">
      <c r="A464" s="3">
        <v>460</v>
      </c>
      <c r="B464" s="4">
        <v>46234</v>
      </c>
      <c r="C464" s="3" t="s">
        <v>30</v>
      </c>
      <c r="D464" s="3" t="s">
        <v>19</v>
      </c>
      <c r="E464" s="3" t="s">
        <v>29</v>
      </c>
      <c r="F464" s="3">
        <v>523</v>
      </c>
      <c r="G464" s="3">
        <v>512</v>
      </c>
      <c r="H464" s="3">
        <v>11</v>
      </c>
      <c r="I464" s="5">
        <f t="shared" si="42"/>
        <v>2.1032504780114723E-2</v>
      </c>
      <c r="J464" s="6">
        <f t="shared" si="47"/>
        <v>21032.504780114723</v>
      </c>
      <c r="K464" s="7">
        <v>0.73</v>
      </c>
      <c r="L464" s="3">
        <v>431</v>
      </c>
      <c r="M464" s="3">
        <v>450</v>
      </c>
      <c r="N464" s="3">
        <v>19</v>
      </c>
      <c r="O464" s="5">
        <f t="shared" si="43"/>
        <v>0.95777777777777773</v>
      </c>
      <c r="P464" s="5">
        <f t="shared" si="44"/>
        <v>0.88582366589327133</v>
      </c>
      <c r="Q464" s="5">
        <f t="shared" si="45"/>
        <v>0.97896749521988524</v>
      </c>
      <c r="R464" s="5">
        <f t="shared" si="46"/>
        <v>0.83057777777777764</v>
      </c>
    </row>
    <row r="465" spans="1:18" x14ac:dyDescent="0.25">
      <c r="A465" s="3">
        <v>461</v>
      </c>
      <c r="B465" s="4">
        <v>46234</v>
      </c>
      <c r="C465" s="3" t="s">
        <v>30</v>
      </c>
      <c r="D465" s="3" t="s">
        <v>21</v>
      </c>
      <c r="E465" s="3" t="s">
        <v>26</v>
      </c>
      <c r="F465" s="3">
        <v>537</v>
      </c>
      <c r="G465" s="3">
        <v>527</v>
      </c>
      <c r="H465" s="3">
        <v>10</v>
      </c>
      <c r="I465" s="5">
        <f t="shared" si="42"/>
        <v>1.86219739292365E-2</v>
      </c>
      <c r="J465" s="6">
        <f t="shared" si="47"/>
        <v>18621.973929236501</v>
      </c>
      <c r="K465" s="7">
        <v>0.72</v>
      </c>
      <c r="L465" s="3">
        <v>398</v>
      </c>
      <c r="M465" s="3">
        <v>450</v>
      </c>
      <c r="N465" s="3">
        <v>52</v>
      </c>
      <c r="O465" s="5">
        <f t="shared" si="43"/>
        <v>0.88444444444444448</v>
      </c>
      <c r="P465" s="5">
        <f t="shared" si="44"/>
        <v>0.97145728643216078</v>
      </c>
      <c r="Q465" s="5">
        <f t="shared" si="45"/>
        <v>0.98137802607076352</v>
      </c>
      <c r="R465" s="5">
        <f t="shared" si="46"/>
        <v>0.84319999999999995</v>
      </c>
    </row>
    <row r="466" spans="1:18" x14ac:dyDescent="0.25">
      <c r="A466" s="3">
        <v>462</v>
      </c>
      <c r="B466" s="4">
        <v>46234</v>
      </c>
      <c r="C466" s="3" t="s">
        <v>30</v>
      </c>
      <c r="D466" s="3" t="s">
        <v>23</v>
      </c>
      <c r="E466" s="3" t="s">
        <v>35</v>
      </c>
      <c r="F466" s="3">
        <v>212</v>
      </c>
      <c r="G466" s="3">
        <v>211</v>
      </c>
      <c r="H466" s="3">
        <v>1</v>
      </c>
      <c r="I466" s="5">
        <f t="shared" si="42"/>
        <v>4.7169811320754715E-3</v>
      </c>
      <c r="J466" s="6">
        <f t="shared" si="47"/>
        <v>4716.9811320754716</v>
      </c>
      <c r="K466" s="7">
        <v>1.56</v>
      </c>
      <c r="L466" s="3">
        <v>398</v>
      </c>
      <c r="M466" s="3">
        <v>450</v>
      </c>
      <c r="N466" s="3">
        <v>52</v>
      </c>
      <c r="O466" s="5">
        <f t="shared" si="43"/>
        <v>0.88444444444444448</v>
      </c>
      <c r="P466" s="5">
        <f t="shared" si="44"/>
        <v>0.8309547738693468</v>
      </c>
      <c r="Q466" s="5">
        <f t="shared" si="45"/>
        <v>0.99528301886792447</v>
      </c>
      <c r="R466" s="5">
        <f t="shared" si="46"/>
        <v>0.73146666666666671</v>
      </c>
    </row>
    <row r="467" spans="1:18" x14ac:dyDescent="0.25">
      <c r="A467" s="3">
        <v>463</v>
      </c>
      <c r="B467" s="4">
        <v>46234</v>
      </c>
      <c r="C467" s="3" t="s">
        <v>33</v>
      </c>
      <c r="D467" s="3" t="s">
        <v>19</v>
      </c>
      <c r="E467" s="3" t="s">
        <v>32</v>
      </c>
      <c r="F467" s="3">
        <v>283</v>
      </c>
      <c r="G467" s="3">
        <v>280</v>
      </c>
      <c r="H467" s="3">
        <v>3</v>
      </c>
      <c r="I467" s="5">
        <f t="shared" si="42"/>
        <v>1.0600706713780919E-2</v>
      </c>
      <c r="J467" s="6">
        <f t="shared" si="47"/>
        <v>10600.706713780919</v>
      </c>
      <c r="K467" s="7">
        <v>1.18</v>
      </c>
      <c r="L467" s="3">
        <v>423</v>
      </c>
      <c r="M467" s="3">
        <v>450</v>
      </c>
      <c r="N467" s="3">
        <v>27</v>
      </c>
      <c r="O467" s="5">
        <f t="shared" si="43"/>
        <v>0.94</v>
      </c>
      <c r="P467" s="5">
        <f t="shared" si="44"/>
        <v>0.78945626477541375</v>
      </c>
      <c r="Q467" s="5">
        <f t="shared" si="45"/>
        <v>0.98939929328621912</v>
      </c>
      <c r="R467" s="5">
        <f t="shared" si="46"/>
        <v>0.73422222222222222</v>
      </c>
    </row>
    <row r="468" spans="1:18" x14ac:dyDescent="0.25">
      <c r="A468" s="3">
        <v>464</v>
      </c>
      <c r="B468" s="4">
        <v>46234</v>
      </c>
      <c r="C468" s="3" t="s">
        <v>33</v>
      </c>
      <c r="D468" s="3" t="s">
        <v>21</v>
      </c>
      <c r="E468" s="3" t="s">
        <v>20</v>
      </c>
      <c r="F468" s="3">
        <v>343</v>
      </c>
      <c r="G468" s="3">
        <v>341</v>
      </c>
      <c r="H468" s="3">
        <v>2</v>
      </c>
      <c r="I468" s="5">
        <f t="shared" si="42"/>
        <v>5.8309037900874635E-3</v>
      </c>
      <c r="J468" s="6">
        <f t="shared" si="47"/>
        <v>5830.9037900874637</v>
      </c>
      <c r="K468" s="7">
        <v>1.1000000000000001</v>
      </c>
      <c r="L468" s="3">
        <v>385</v>
      </c>
      <c r="M468" s="3">
        <v>450</v>
      </c>
      <c r="N468" s="3">
        <v>65</v>
      </c>
      <c r="O468" s="5">
        <f t="shared" si="43"/>
        <v>0.85555555555555551</v>
      </c>
      <c r="P468" s="5">
        <f t="shared" si="44"/>
        <v>0.98</v>
      </c>
      <c r="Q468" s="5">
        <f t="shared" si="45"/>
        <v>0.99416909620991256</v>
      </c>
      <c r="R468" s="5">
        <f t="shared" si="46"/>
        <v>0.83355555555555561</v>
      </c>
    </row>
    <row r="469" spans="1:18" x14ac:dyDescent="0.25">
      <c r="A469" s="3">
        <v>465</v>
      </c>
      <c r="B469" s="4">
        <v>46234</v>
      </c>
      <c r="C469" s="3" t="s">
        <v>33</v>
      </c>
      <c r="D469" s="3" t="s">
        <v>23</v>
      </c>
      <c r="E469" s="3" t="s">
        <v>35</v>
      </c>
      <c r="F469" s="3">
        <v>403</v>
      </c>
      <c r="G469" s="3">
        <v>399</v>
      </c>
      <c r="H469" s="3">
        <v>4</v>
      </c>
      <c r="I469" s="5">
        <f t="shared" si="42"/>
        <v>9.9255583126550868E-3</v>
      </c>
      <c r="J469" s="6">
        <f t="shared" si="47"/>
        <v>9925.5583126550864</v>
      </c>
      <c r="K469" s="7">
        <v>0.92</v>
      </c>
      <c r="L469" s="3">
        <v>425</v>
      </c>
      <c r="M469" s="3">
        <v>450</v>
      </c>
      <c r="N469" s="3">
        <v>25</v>
      </c>
      <c r="O469" s="5">
        <f t="shared" si="43"/>
        <v>0.94444444444444442</v>
      </c>
      <c r="P469" s="5">
        <f t="shared" si="44"/>
        <v>0.87237647058823531</v>
      </c>
      <c r="Q469" s="5">
        <f t="shared" si="45"/>
        <v>0.99007444168734493</v>
      </c>
      <c r="R469" s="5">
        <f t="shared" si="46"/>
        <v>0.81573333333333342</v>
      </c>
    </row>
  </sheetData>
  <autoFilter ref="A4:R469" xr:uid="{00000000-0009-0000-0000-000000000000}"/>
  <mergeCells count="1">
    <mergeCell ref="A1:R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69"/>
  <sheetViews>
    <sheetView workbookViewId="0">
      <pane ySplit="4" topLeftCell="A5" activePane="bottomLeft" state="frozen"/>
      <selection pane="bottomLeft" activeCell="J4" sqref="J4"/>
    </sheetView>
  </sheetViews>
  <sheetFormatPr defaultRowHeight="15" x14ac:dyDescent="0.25"/>
  <cols>
    <col min="1" max="1" width="9" customWidth="1"/>
    <col min="2" max="2" width="14" customWidth="1"/>
    <col min="3" max="3" width="16" customWidth="1"/>
    <col min="4" max="4" width="10" customWidth="1"/>
    <col min="5" max="5" width="20" customWidth="1"/>
    <col min="6" max="6" width="13" customWidth="1"/>
    <col min="7" max="7" width="10" customWidth="1"/>
    <col min="8" max="8" width="15" customWidth="1"/>
    <col min="9" max="9" width="10" customWidth="1"/>
    <col min="10" max="10" width="12" customWidth="1"/>
    <col min="11" max="11" width="13" customWidth="1"/>
    <col min="12" max="12" width="17" customWidth="1"/>
    <col min="13" max="13" width="25" customWidth="1"/>
    <col min="14" max="14" width="12" customWidth="1"/>
    <col min="15" max="16" width="14" customWidth="1"/>
    <col min="17" max="17" width="12" customWidth="1"/>
    <col min="18" max="18" width="10" customWidth="1"/>
  </cols>
  <sheetData>
    <row r="1" spans="1:18" x14ac:dyDescent="0.25">
      <c r="A1" s="25" t="s">
        <v>72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22.5" customHeight="1" x14ac:dyDescent="0.2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29.45" customHeight="1" x14ac:dyDescent="0.25">
      <c r="A3" s="8"/>
      <c r="B3" s="8"/>
      <c r="C3" s="8"/>
      <c r="D3" s="8"/>
      <c r="E3" s="8"/>
      <c r="F3" s="8">
        <f>SUM(F5:F1001)</f>
        <v>203195</v>
      </c>
      <c r="G3" s="8">
        <f t="shared" ref="G3:H3" si="0">SUM(G5:G1001)</f>
        <v>198495</v>
      </c>
      <c r="H3" s="8">
        <f t="shared" si="0"/>
        <v>4329</v>
      </c>
      <c r="I3" s="11">
        <f>AVERAGE(I452:I1001)</f>
        <v>1.8261778010222524E-2</v>
      </c>
      <c r="J3" s="12">
        <f>SUM(J5:J1000)</f>
        <v>10411217.248794351</v>
      </c>
      <c r="K3" s="8"/>
      <c r="L3" s="8"/>
      <c r="M3" s="8"/>
      <c r="N3" s="8">
        <f>SUM(N5:N1000)</f>
        <v>16115</v>
      </c>
      <c r="O3" s="8"/>
      <c r="P3" s="8"/>
      <c r="Q3" s="8"/>
      <c r="R3" s="11">
        <f>AVERAGE(R452:R1001)</f>
        <v>0.83621604938271621</v>
      </c>
    </row>
    <row r="4" spans="1:18" s="1" customFormat="1" ht="26.1" customHeight="1" x14ac:dyDescent="0.2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</row>
    <row r="5" spans="1:18" x14ac:dyDescent="0.25">
      <c r="A5" s="3">
        <v>1</v>
      </c>
      <c r="B5" s="4">
        <v>46235</v>
      </c>
      <c r="C5" s="3" t="s">
        <v>18</v>
      </c>
      <c r="D5" s="3" t="s">
        <v>19</v>
      </c>
      <c r="E5" s="3" t="s">
        <v>31</v>
      </c>
      <c r="F5" s="3">
        <v>560</v>
      </c>
      <c r="G5" s="3">
        <v>547</v>
      </c>
      <c r="H5" s="3">
        <v>13</v>
      </c>
      <c r="I5" s="5">
        <f t="shared" ref="I5:I68" si="1">IFERROR(H5/F5,0)</f>
        <v>2.3214285714285715E-2</v>
      </c>
      <c r="J5" s="6">
        <f t="shared" ref="J5:J68" si="2">I5*1000000</f>
        <v>23214.285714285714</v>
      </c>
      <c r="K5" s="7">
        <v>0.63</v>
      </c>
      <c r="L5" s="3">
        <v>400</v>
      </c>
      <c r="M5" s="3">
        <v>450</v>
      </c>
      <c r="N5" s="3">
        <v>50</v>
      </c>
      <c r="O5" s="5">
        <f t="shared" ref="O5:O68" si="3">IFERROR(L5/M5,0)</f>
        <v>0.88888888888888884</v>
      </c>
      <c r="P5" s="5">
        <f t="shared" ref="P5:P68" si="4">IFERROR(F5*K5/L5,0)</f>
        <v>0.88200000000000001</v>
      </c>
      <c r="Q5" s="5">
        <f t="shared" ref="Q5:Q68" si="5">IFERROR(G5/F5,0)</f>
        <v>0.97678571428571426</v>
      </c>
      <c r="R5" s="5">
        <f t="shared" ref="R5:R68" si="6">O5*P5*Q5</f>
        <v>0.76579999999999993</v>
      </c>
    </row>
    <row r="6" spans="1:18" x14ac:dyDescent="0.25">
      <c r="A6" s="3">
        <v>2</v>
      </c>
      <c r="B6" s="4">
        <v>46235</v>
      </c>
      <c r="C6" s="3" t="s">
        <v>18</v>
      </c>
      <c r="D6" s="3" t="s">
        <v>21</v>
      </c>
      <c r="E6" s="3" t="s">
        <v>35</v>
      </c>
      <c r="F6" s="3">
        <v>245</v>
      </c>
      <c r="G6" s="3">
        <v>234</v>
      </c>
      <c r="H6" s="3">
        <v>11</v>
      </c>
      <c r="I6" s="5">
        <f t="shared" si="1"/>
        <v>4.4897959183673466E-2</v>
      </c>
      <c r="J6" s="6">
        <f t="shared" si="2"/>
        <v>44897.959183673469</v>
      </c>
      <c r="K6" s="7">
        <v>1.6</v>
      </c>
      <c r="L6" s="3">
        <v>413</v>
      </c>
      <c r="M6" s="3">
        <v>450</v>
      </c>
      <c r="N6" s="3">
        <v>37</v>
      </c>
      <c r="O6" s="5">
        <f t="shared" si="3"/>
        <v>0.9177777777777778</v>
      </c>
      <c r="P6" s="5">
        <f t="shared" si="4"/>
        <v>0.94915254237288138</v>
      </c>
      <c r="Q6" s="5">
        <f t="shared" si="5"/>
        <v>0.95510204081632655</v>
      </c>
      <c r="R6" s="5">
        <f t="shared" si="6"/>
        <v>0.83200000000000007</v>
      </c>
    </row>
    <row r="7" spans="1:18" x14ac:dyDescent="0.25">
      <c r="A7" s="3">
        <v>3</v>
      </c>
      <c r="B7" s="4">
        <v>46235</v>
      </c>
      <c r="C7" s="3" t="s">
        <v>18</v>
      </c>
      <c r="D7" s="3" t="s">
        <v>23</v>
      </c>
      <c r="E7" s="3" t="s">
        <v>20</v>
      </c>
      <c r="F7" s="3">
        <v>376</v>
      </c>
      <c r="G7" s="3">
        <v>360</v>
      </c>
      <c r="H7" s="3">
        <v>16</v>
      </c>
      <c r="I7" s="5">
        <f t="shared" si="1"/>
        <v>4.2553191489361701E-2</v>
      </c>
      <c r="J7" s="6">
        <f t="shared" si="2"/>
        <v>42553.191489361699</v>
      </c>
      <c r="K7" s="7">
        <v>0.95</v>
      </c>
      <c r="L7" s="3">
        <v>406</v>
      </c>
      <c r="M7" s="3">
        <v>450</v>
      </c>
      <c r="N7" s="3">
        <v>44</v>
      </c>
      <c r="O7" s="5">
        <f t="shared" si="3"/>
        <v>0.90222222222222226</v>
      </c>
      <c r="P7" s="5">
        <f t="shared" si="4"/>
        <v>0.87980295566502464</v>
      </c>
      <c r="Q7" s="5">
        <f t="shared" si="5"/>
        <v>0.95744680851063835</v>
      </c>
      <c r="R7" s="5">
        <f t="shared" si="6"/>
        <v>0.76000000000000012</v>
      </c>
    </row>
    <row r="8" spans="1:18" x14ac:dyDescent="0.25">
      <c r="A8" s="3">
        <v>4</v>
      </c>
      <c r="B8" s="4">
        <v>46235</v>
      </c>
      <c r="C8" s="3" t="s">
        <v>25</v>
      </c>
      <c r="D8" s="3" t="s">
        <v>19</v>
      </c>
      <c r="E8" s="3" t="s">
        <v>24</v>
      </c>
      <c r="F8" s="3">
        <v>525</v>
      </c>
      <c r="G8" s="3">
        <v>521</v>
      </c>
      <c r="H8" s="3">
        <v>4</v>
      </c>
      <c r="I8" s="5">
        <f t="shared" si="1"/>
        <v>7.619047619047619E-3</v>
      </c>
      <c r="J8" s="6">
        <f t="shared" si="2"/>
        <v>7619.0476190476193</v>
      </c>
      <c r="K8" s="7">
        <v>0.71</v>
      </c>
      <c r="L8" s="3">
        <v>385</v>
      </c>
      <c r="M8" s="3">
        <v>450</v>
      </c>
      <c r="N8" s="3">
        <v>65</v>
      </c>
      <c r="O8" s="5">
        <f t="shared" si="3"/>
        <v>0.85555555555555551</v>
      </c>
      <c r="P8" s="5">
        <f t="shared" si="4"/>
        <v>0.96818181818181814</v>
      </c>
      <c r="Q8" s="5">
        <f t="shared" si="5"/>
        <v>0.99238095238095236</v>
      </c>
      <c r="R8" s="5">
        <f t="shared" si="6"/>
        <v>0.8220222222222221</v>
      </c>
    </row>
    <row r="9" spans="1:18" x14ac:dyDescent="0.25">
      <c r="A9" s="3">
        <v>5</v>
      </c>
      <c r="B9" s="4">
        <v>46235</v>
      </c>
      <c r="C9" s="3" t="s">
        <v>25</v>
      </c>
      <c r="D9" s="3" t="s">
        <v>21</v>
      </c>
      <c r="E9" s="3" t="s">
        <v>29</v>
      </c>
      <c r="F9" s="3">
        <v>323</v>
      </c>
      <c r="G9" s="3">
        <v>320</v>
      </c>
      <c r="H9" s="3">
        <v>3</v>
      </c>
      <c r="I9" s="5">
        <f t="shared" si="1"/>
        <v>9.2879256965944269E-3</v>
      </c>
      <c r="J9" s="6">
        <f t="shared" si="2"/>
        <v>9287.9256965944278</v>
      </c>
      <c r="K9" s="7">
        <v>1.03</v>
      </c>
      <c r="L9" s="3">
        <v>401</v>
      </c>
      <c r="M9" s="3">
        <v>450</v>
      </c>
      <c r="N9" s="3">
        <v>49</v>
      </c>
      <c r="O9" s="5">
        <f t="shared" si="3"/>
        <v>0.89111111111111108</v>
      </c>
      <c r="P9" s="5">
        <f t="shared" si="4"/>
        <v>0.82965087281795513</v>
      </c>
      <c r="Q9" s="5">
        <f t="shared" si="5"/>
        <v>0.99071207430340558</v>
      </c>
      <c r="R9" s="5">
        <f t="shared" si="6"/>
        <v>0.73244444444444445</v>
      </c>
    </row>
    <row r="10" spans="1:18" x14ac:dyDescent="0.25">
      <c r="A10" s="3">
        <v>6</v>
      </c>
      <c r="B10" s="4">
        <v>46235</v>
      </c>
      <c r="C10" s="3" t="s">
        <v>25</v>
      </c>
      <c r="D10" s="3" t="s">
        <v>23</v>
      </c>
      <c r="E10" s="3" t="s">
        <v>24</v>
      </c>
      <c r="F10" s="3">
        <v>413</v>
      </c>
      <c r="G10" s="3">
        <v>396</v>
      </c>
      <c r="H10" s="3">
        <v>17</v>
      </c>
      <c r="I10" s="5">
        <f t="shared" si="1"/>
        <v>4.1162227602905568E-2</v>
      </c>
      <c r="J10" s="6">
        <f t="shared" si="2"/>
        <v>41162.227602905572</v>
      </c>
      <c r="K10" s="7">
        <v>1.02</v>
      </c>
      <c r="L10" s="3">
        <v>431</v>
      </c>
      <c r="M10" s="3">
        <v>450</v>
      </c>
      <c r="N10" s="3">
        <v>19</v>
      </c>
      <c r="O10" s="5">
        <f t="shared" si="3"/>
        <v>0.95777777777777773</v>
      </c>
      <c r="P10" s="5">
        <f t="shared" si="4"/>
        <v>0.97740139211136889</v>
      </c>
      <c r="Q10" s="5">
        <f t="shared" si="5"/>
        <v>0.95883777239709445</v>
      </c>
      <c r="R10" s="5">
        <f t="shared" si="6"/>
        <v>0.89759999999999995</v>
      </c>
    </row>
    <row r="11" spans="1:18" x14ac:dyDescent="0.25">
      <c r="A11" s="3">
        <v>7</v>
      </c>
      <c r="B11" s="4">
        <v>46235</v>
      </c>
      <c r="C11" s="3" t="s">
        <v>28</v>
      </c>
      <c r="D11" s="3" t="s">
        <v>19</v>
      </c>
      <c r="E11" s="3" t="s">
        <v>32</v>
      </c>
      <c r="F11" s="3">
        <v>239</v>
      </c>
      <c r="G11" s="3">
        <v>236</v>
      </c>
      <c r="H11" s="3">
        <v>3</v>
      </c>
      <c r="I11" s="5">
        <f t="shared" si="1"/>
        <v>1.2552301255230125E-2</v>
      </c>
      <c r="J11" s="6">
        <f t="shared" si="2"/>
        <v>12552.301255230126</v>
      </c>
      <c r="K11" s="7">
        <v>1.51</v>
      </c>
      <c r="L11" s="3">
        <v>428</v>
      </c>
      <c r="M11" s="3">
        <v>450</v>
      </c>
      <c r="N11" s="3">
        <v>22</v>
      </c>
      <c r="O11" s="5">
        <f t="shared" si="3"/>
        <v>0.95111111111111113</v>
      </c>
      <c r="P11" s="5">
        <f t="shared" si="4"/>
        <v>0.84320093457943923</v>
      </c>
      <c r="Q11" s="5">
        <f t="shared" si="5"/>
        <v>0.9874476987447699</v>
      </c>
      <c r="R11" s="5">
        <f t="shared" si="6"/>
        <v>0.79191111111111112</v>
      </c>
    </row>
    <row r="12" spans="1:18" x14ac:dyDescent="0.25">
      <c r="A12" s="3">
        <v>8</v>
      </c>
      <c r="B12" s="4">
        <v>46235</v>
      </c>
      <c r="C12" s="3" t="s">
        <v>28</v>
      </c>
      <c r="D12" s="3" t="s">
        <v>21</v>
      </c>
      <c r="E12" s="3" t="s">
        <v>35</v>
      </c>
      <c r="F12" s="3">
        <v>605</v>
      </c>
      <c r="G12" s="3">
        <v>593</v>
      </c>
      <c r="H12" s="3">
        <v>12</v>
      </c>
      <c r="I12" s="5">
        <f t="shared" si="1"/>
        <v>1.9834710743801654E-2</v>
      </c>
      <c r="J12" s="6">
        <f t="shared" si="2"/>
        <v>19834.710743801654</v>
      </c>
      <c r="K12" s="7">
        <v>0.72</v>
      </c>
      <c r="L12" s="3">
        <v>429</v>
      </c>
      <c r="M12" s="3">
        <v>450</v>
      </c>
      <c r="N12" s="3">
        <v>21</v>
      </c>
      <c r="O12" s="5">
        <f t="shared" si="3"/>
        <v>0.95333333333333337</v>
      </c>
      <c r="P12" s="5">
        <f t="shared" si="4"/>
        <v>1.0153846153846153</v>
      </c>
      <c r="Q12" s="5">
        <f t="shared" si="5"/>
        <v>0.98016528925619839</v>
      </c>
      <c r="R12" s="5">
        <f t="shared" si="6"/>
        <v>0.94879999999999998</v>
      </c>
    </row>
    <row r="13" spans="1:18" x14ac:dyDescent="0.25">
      <c r="A13" s="3">
        <v>9</v>
      </c>
      <c r="B13" s="4">
        <v>46235</v>
      </c>
      <c r="C13" s="3" t="s">
        <v>28</v>
      </c>
      <c r="D13" s="3" t="s">
        <v>23</v>
      </c>
      <c r="E13" s="3" t="s">
        <v>32</v>
      </c>
      <c r="F13" s="3">
        <v>637</v>
      </c>
      <c r="G13" s="3">
        <v>624</v>
      </c>
      <c r="H13" s="3">
        <v>13</v>
      </c>
      <c r="I13" s="5">
        <f t="shared" si="1"/>
        <v>2.0408163265306121E-2</v>
      </c>
      <c r="J13" s="6">
        <f t="shared" si="2"/>
        <v>20408.163265306121</v>
      </c>
      <c r="K13" s="7">
        <v>0.68</v>
      </c>
      <c r="L13" s="3">
        <v>437</v>
      </c>
      <c r="M13" s="3">
        <v>450</v>
      </c>
      <c r="N13" s="3">
        <v>13</v>
      </c>
      <c r="O13" s="5">
        <f t="shared" si="3"/>
        <v>0.97111111111111115</v>
      </c>
      <c r="P13" s="5">
        <f t="shared" si="4"/>
        <v>0.99121281464530897</v>
      </c>
      <c r="Q13" s="5">
        <f t="shared" si="5"/>
        <v>0.97959183673469385</v>
      </c>
      <c r="R13" s="5">
        <f t="shared" si="6"/>
        <v>0.9429333333333334</v>
      </c>
    </row>
    <row r="14" spans="1:18" x14ac:dyDescent="0.25">
      <c r="A14" s="3">
        <v>10</v>
      </c>
      <c r="B14" s="4">
        <v>46235</v>
      </c>
      <c r="C14" s="3" t="s">
        <v>30</v>
      </c>
      <c r="D14" s="3" t="s">
        <v>19</v>
      </c>
      <c r="E14" s="3" t="s">
        <v>24</v>
      </c>
      <c r="F14" s="3">
        <v>1033</v>
      </c>
      <c r="G14" s="3">
        <v>996</v>
      </c>
      <c r="H14" s="3">
        <v>37</v>
      </c>
      <c r="I14" s="5">
        <f t="shared" si="1"/>
        <v>3.5818005808325268E-2</v>
      </c>
      <c r="J14" s="6">
        <f t="shared" si="2"/>
        <v>35818.005808325266</v>
      </c>
      <c r="K14" s="7">
        <v>0.4</v>
      </c>
      <c r="L14" s="3">
        <v>440</v>
      </c>
      <c r="M14" s="3">
        <v>450</v>
      </c>
      <c r="N14" s="3">
        <v>10</v>
      </c>
      <c r="O14" s="5">
        <f t="shared" si="3"/>
        <v>0.97777777777777775</v>
      </c>
      <c r="P14" s="5">
        <f t="shared" si="4"/>
        <v>0.9390909090909092</v>
      </c>
      <c r="Q14" s="5">
        <f t="shared" si="5"/>
        <v>0.96418199419167472</v>
      </c>
      <c r="R14" s="5">
        <f t="shared" si="6"/>
        <v>0.88533333333333342</v>
      </c>
    </row>
    <row r="15" spans="1:18" x14ac:dyDescent="0.25">
      <c r="A15" s="3">
        <v>11</v>
      </c>
      <c r="B15" s="4">
        <v>46235</v>
      </c>
      <c r="C15" s="3" t="s">
        <v>30</v>
      </c>
      <c r="D15" s="3" t="s">
        <v>21</v>
      </c>
      <c r="E15" s="3" t="s">
        <v>29</v>
      </c>
      <c r="F15" s="3">
        <v>666</v>
      </c>
      <c r="G15" s="3">
        <v>640</v>
      </c>
      <c r="H15" s="3">
        <v>26</v>
      </c>
      <c r="I15" s="5">
        <f t="shared" si="1"/>
        <v>3.903903903903904E-2</v>
      </c>
      <c r="J15" s="6">
        <f t="shared" si="2"/>
        <v>39039.039039039038</v>
      </c>
      <c r="K15" s="7">
        <v>0.66</v>
      </c>
      <c r="L15" s="3">
        <v>436</v>
      </c>
      <c r="M15" s="3">
        <v>450</v>
      </c>
      <c r="N15" s="3">
        <v>14</v>
      </c>
      <c r="O15" s="5">
        <f t="shared" si="3"/>
        <v>0.96888888888888891</v>
      </c>
      <c r="P15" s="5">
        <f t="shared" si="4"/>
        <v>1.008165137614679</v>
      </c>
      <c r="Q15" s="5">
        <f t="shared" si="5"/>
        <v>0.96096096096096095</v>
      </c>
      <c r="R15" s="5">
        <f t="shared" si="6"/>
        <v>0.93866666666666676</v>
      </c>
    </row>
    <row r="16" spans="1:18" x14ac:dyDescent="0.25">
      <c r="A16" s="3">
        <v>12</v>
      </c>
      <c r="B16" s="4">
        <v>46235</v>
      </c>
      <c r="C16" s="3" t="s">
        <v>30</v>
      </c>
      <c r="D16" s="3" t="s">
        <v>23</v>
      </c>
      <c r="E16" s="3" t="s">
        <v>27</v>
      </c>
      <c r="F16" s="3">
        <v>221</v>
      </c>
      <c r="G16" s="3">
        <v>212</v>
      </c>
      <c r="H16" s="3">
        <v>9</v>
      </c>
      <c r="I16" s="5">
        <f t="shared" si="1"/>
        <v>4.072398190045249E-2</v>
      </c>
      <c r="J16" s="6">
        <f t="shared" si="2"/>
        <v>40723.981900452491</v>
      </c>
      <c r="K16" s="7">
        <v>1.58</v>
      </c>
      <c r="L16" s="3">
        <v>441</v>
      </c>
      <c r="M16" s="3">
        <v>450</v>
      </c>
      <c r="N16" s="3">
        <v>9</v>
      </c>
      <c r="O16" s="5">
        <f t="shared" si="3"/>
        <v>0.98</v>
      </c>
      <c r="P16" s="5">
        <f t="shared" si="4"/>
        <v>0.79179138321995468</v>
      </c>
      <c r="Q16" s="5">
        <f t="shared" si="5"/>
        <v>0.95927601809954754</v>
      </c>
      <c r="R16" s="5">
        <f t="shared" si="6"/>
        <v>0.74435555555555566</v>
      </c>
    </row>
    <row r="17" spans="1:18" x14ac:dyDescent="0.25">
      <c r="A17" s="3">
        <v>13</v>
      </c>
      <c r="B17" s="4">
        <v>46235</v>
      </c>
      <c r="C17" s="3" t="s">
        <v>33</v>
      </c>
      <c r="D17" s="3" t="s">
        <v>19</v>
      </c>
      <c r="E17" s="3" t="s">
        <v>26</v>
      </c>
      <c r="F17" s="3">
        <v>511</v>
      </c>
      <c r="G17" s="3">
        <v>493</v>
      </c>
      <c r="H17" s="3">
        <v>18</v>
      </c>
      <c r="I17" s="5">
        <f t="shared" si="1"/>
        <v>3.5225048923679059E-2</v>
      </c>
      <c r="J17" s="6">
        <f t="shared" si="2"/>
        <v>35225.04892367906</v>
      </c>
      <c r="K17" s="7">
        <v>0.79</v>
      </c>
      <c r="L17" s="3">
        <v>432</v>
      </c>
      <c r="M17" s="3">
        <v>450</v>
      </c>
      <c r="N17" s="3">
        <v>18</v>
      </c>
      <c r="O17" s="5">
        <f t="shared" si="3"/>
        <v>0.96</v>
      </c>
      <c r="P17" s="5">
        <f t="shared" si="4"/>
        <v>0.9344675925925926</v>
      </c>
      <c r="Q17" s="5">
        <f t="shared" si="5"/>
        <v>0.96477495107632094</v>
      </c>
      <c r="R17" s="5">
        <f t="shared" si="6"/>
        <v>0.86548888888888886</v>
      </c>
    </row>
    <row r="18" spans="1:18" x14ac:dyDescent="0.25">
      <c r="A18" s="3">
        <v>14</v>
      </c>
      <c r="B18" s="4">
        <v>46235</v>
      </c>
      <c r="C18" s="3" t="s">
        <v>33</v>
      </c>
      <c r="D18" s="3" t="s">
        <v>21</v>
      </c>
      <c r="E18" s="3" t="s">
        <v>32</v>
      </c>
      <c r="F18" s="3">
        <v>822</v>
      </c>
      <c r="G18" s="3">
        <v>794</v>
      </c>
      <c r="H18" s="3">
        <v>28</v>
      </c>
      <c r="I18" s="5">
        <f t="shared" si="1"/>
        <v>3.4063260340632603E-2</v>
      </c>
      <c r="J18" s="6">
        <f t="shared" si="2"/>
        <v>34063.260340632602</v>
      </c>
      <c r="K18" s="7">
        <v>0.54</v>
      </c>
      <c r="L18" s="3">
        <v>438</v>
      </c>
      <c r="M18" s="3">
        <v>450</v>
      </c>
      <c r="N18" s="3">
        <v>12</v>
      </c>
      <c r="O18" s="5">
        <f t="shared" si="3"/>
        <v>0.97333333333333338</v>
      </c>
      <c r="P18" s="5">
        <f t="shared" si="4"/>
        <v>1.0134246575342467</v>
      </c>
      <c r="Q18" s="5">
        <f t="shared" si="5"/>
        <v>0.96593673965936744</v>
      </c>
      <c r="R18" s="5">
        <f t="shared" si="6"/>
        <v>0.9528000000000002</v>
      </c>
    </row>
    <row r="19" spans="1:18" x14ac:dyDescent="0.25">
      <c r="A19" s="3">
        <v>15</v>
      </c>
      <c r="B19" s="4">
        <v>46235</v>
      </c>
      <c r="C19" s="3" t="s">
        <v>33</v>
      </c>
      <c r="D19" s="3" t="s">
        <v>23</v>
      </c>
      <c r="E19" s="3" t="s">
        <v>32</v>
      </c>
      <c r="F19" s="3">
        <v>401</v>
      </c>
      <c r="G19" s="3">
        <v>391</v>
      </c>
      <c r="H19" s="3">
        <v>10</v>
      </c>
      <c r="I19" s="5">
        <f t="shared" si="1"/>
        <v>2.4937655860349128E-2</v>
      </c>
      <c r="J19" s="6">
        <f t="shared" si="2"/>
        <v>24937.655860349128</v>
      </c>
      <c r="K19" s="7">
        <v>0.99</v>
      </c>
      <c r="L19" s="3">
        <v>398</v>
      </c>
      <c r="M19" s="3">
        <v>450</v>
      </c>
      <c r="N19" s="3">
        <v>52</v>
      </c>
      <c r="O19" s="5">
        <f t="shared" si="3"/>
        <v>0.88444444444444448</v>
      </c>
      <c r="P19" s="5">
        <f t="shared" si="4"/>
        <v>0.99746231155778897</v>
      </c>
      <c r="Q19" s="5">
        <f t="shared" si="5"/>
        <v>0.97506234413965087</v>
      </c>
      <c r="R19" s="5">
        <f t="shared" si="6"/>
        <v>0.86020000000000008</v>
      </c>
    </row>
    <row r="20" spans="1:18" x14ac:dyDescent="0.25">
      <c r="A20" s="3">
        <v>16</v>
      </c>
      <c r="B20" s="4">
        <v>46236</v>
      </c>
      <c r="C20" s="3" t="s">
        <v>18</v>
      </c>
      <c r="D20" s="3" t="s">
        <v>19</v>
      </c>
      <c r="E20" s="3" t="s">
        <v>27</v>
      </c>
      <c r="F20" s="3">
        <v>299</v>
      </c>
      <c r="G20" s="3">
        <v>294</v>
      </c>
      <c r="H20" s="3">
        <v>5</v>
      </c>
      <c r="I20" s="5">
        <f t="shared" si="1"/>
        <v>1.6722408026755852E-2</v>
      </c>
      <c r="J20" s="6">
        <f t="shared" si="2"/>
        <v>16722.408026755853</v>
      </c>
      <c r="K20" s="7">
        <v>1.43</v>
      </c>
      <c r="L20" s="3">
        <v>443</v>
      </c>
      <c r="M20" s="3">
        <v>450</v>
      </c>
      <c r="N20" s="3">
        <v>7</v>
      </c>
      <c r="O20" s="5">
        <f t="shared" si="3"/>
        <v>0.98444444444444446</v>
      </c>
      <c r="P20" s="5">
        <f t="shared" si="4"/>
        <v>0.96516930022573366</v>
      </c>
      <c r="Q20" s="5">
        <f t="shared" si="5"/>
        <v>0.98327759197324416</v>
      </c>
      <c r="R20" s="5">
        <f t="shared" si="6"/>
        <v>0.9342666666666668</v>
      </c>
    </row>
    <row r="21" spans="1:18" x14ac:dyDescent="0.25">
      <c r="A21" s="3">
        <v>17</v>
      </c>
      <c r="B21" s="4">
        <v>46236</v>
      </c>
      <c r="C21" s="3" t="s">
        <v>18</v>
      </c>
      <c r="D21" s="3" t="s">
        <v>21</v>
      </c>
      <c r="E21" s="3" t="s">
        <v>31</v>
      </c>
      <c r="F21" s="3">
        <v>637</v>
      </c>
      <c r="G21" s="3">
        <v>622</v>
      </c>
      <c r="H21" s="3">
        <v>15</v>
      </c>
      <c r="I21" s="5">
        <f t="shared" si="1"/>
        <v>2.3547880690737835E-2</v>
      </c>
      <c r="J21" s="6">
        <f t="shared" si="2"/>
        <v>23547.880690737835</v>
      </c>
      <c r="K21" s="7">
        <v>0.52</v>
      </c>
      <c r="L21" s="3">
        <v>395</v>
      </c>
      <c r="M21" s="3">
        <v>450</v>
      </c>
      <c r="N21" s="3">
        <v>55</v>
      </c>
      <c r="O21" s="5">
        <f t="shared" si="3"/>
        <v>0.87777777777777777</v>
      </c>
      <c r="P21" s="5">
        <f t="shared" si="4"/>
        <v>0.83858227848101263</v>
      </c>
      <c r="Q21" s="5">
        <f t="shared" si="5"/>
        <v>0.97645211930926212</v>
      </c>
      <c r="R21" s="5">
        <f t="shared" si="6"/>
        <v>0.71875555555555559</v>
      </c>
    </row>
    <row r="22" spans="1:18" x14ac:dyDescent="0.25">
      <c r="A22" s="3">
        <v>18</v>
      </c>
      <c r="B22" s="4">
        <v>46236</v>
      </c>
      <c r="C22" s="3" t="s">
        <v>18</v>
      </c>
      <c r="D22" s="3" t="s">
        <v>23</v>
      </c>
      <c r="E22" s="3" t="s">
        <v>31</v>
      </c>
      <c r="F22" s="3">
        <v>337</v>
      </c>
      <c r="G22" s="3">
        <v>325</v>
      </c>
      <c r="H22" s="3">
        <v>12</v>
      </c>
      <c r="I22" s="5">
        <f t="shared" si="1"/>
        <v>3.5608308605341248E-2</v>
      </c>
      <c r="J22" s="6">
        <f t="shared" si="2"/>
        <v>35608.308605341248</v>
      </c>
      <c r="K22" s="7">
        <v>1.08</v>
      </c>
      <c r="L22" s="3">
        <v>415</v>
      </c>
      <c r="M22" s="3">
        <v>450</v>
      </c>
      <c r="N22" s="3">
        <v>35</v>
      </c>
      <c r="O22" s="5">
        <f t="shared" si="3"/>
        <v>0.92222222222222228</v>
      </c>
      <c r="P22" s="5">
        <f t="shared" si="4"/>
        <v>0.87701204819277112</v>
      </c>
      <c r="Q22" s="5">
        <f t="shared" si="5"/>
        <v>0.96439169139465875</v>
      </c>
      <c r="R22" s="5">
        <f t="shared" si="6"/>
        <v>0.78</v>
      </c>
    </row>
    <row r="23" spans="1:18" x14ac:dyDescent="0.25">
      <c r="A23" s="3">
        <v>19</v>
      </c>
      <c r="B23" s="4">
        <v>46236</v>
      </c>
      <c r="C23" s="3" t="s">
        <v>25</v>
      </c>
      <c r="D23" s="3" t="s">
        <v>19</v>
      </c>
      <c r="E23" s="3" t="s">
        <v>24</v>
      </c>
      <c r="F23" s="3">
        <v>206</v>
      </c>
      <c r="G23" s="3">
        <v>199</v>
      </c>
      <c r="H23" s="3">
        <v>7</v>
      </c>
      <c r="I23" s="5">
        <f t="shared" si="1"/>
        <v>3.3980582524271843E-2</v>
      </c>
      <c r="J23" s="6">
        <f t="shared" si="2"/>
        <v>33980.582524271842</v>
      </c>
      <c r="K23" s="7">
        <v>1.67</v>
      </c>
      <c r="L23" s="3">
        <v>410</v>
      </c>
      <c r="M23" s="3">
        <v>450</v>
      </c>
      <c r="N23" s="3">
        <v>40</v>
      </c>
      <c r="O23" s="5">
        <f t="shared" si="3"/>
        <v>0.91111111111111109</v>
      </c>
      <c r="P23" s="5">
        <f t="shared" si="4"/>
        <v>0.83907317073170729</v>
      </c>
      <c r="Q23" s="5">
        <f t="shared" si="5"/>
        <v>0.96601941747572817</v>
      </c>
      <c r="R23" s="5">
        <f t="shared" si="6"/>
        <v>0.73851111111111112</v>
      </c>
    </row>
    <row r="24" spans="1:18" x14ac:dyDescent="0.25">
      <c r="A24" s="3">
        <v>20</v>
      </c>
      <c r="B24" s="4">
        <v>46236</v>
      </c>
      <c r="C24" s="3" t="s">
        <v>25</v>
      </c>
      <c r="D24" s="3" t="s">
        <v>21</v>
      </c>
      <c r="E24" s="3" t="s">
        <v>32</v>
      </c>
      <c r="F24" s="3">
        <v>267</v>
      </c>
      <c r="G24" s="3">
        <v>257</v>
      </c>
      <c r="H24" s="3">
        <v>10</v>
      </c>
      <c r="I24" s="5">
        <f t="shared" si="1"/>
        <v>3.7453183520599252E-2</v>
      </c>
      <c r="J24" s="6">
        <f t="shared" si="2"/>
        <v>37453.183520599254</v>
      </c>
      <c r="K24" s="7">
        <v>1.33</v>
      </c>
      <c r="L24" s="3">
        <v>430</v>
      </c>
      <c r="M24" s="3">
        <v>450</v>
      </c>
      <c r="N24" s="3">
        <v>20</v>
      </c>
      <c r="O24" s="5">
        <f t="shared" si="3"/>
        <v>0.9555555555555556</v>
      </c>
      <c r="P24" s="5">
        <f t="shared" si="4"/>
        <v>0.82583720930232563</v>
      </c>
      <c r="Q24" s="5">
        <f t="shared" si="5"/>
        <v>0.96254681647940077</v>
      </c>
      <c r="R24" s="5">
        <f t="shared" si="6"/>
        <v>0.75957777777777791</v>
      </c>
    </row>
    <row r="25" spans="1:18" x14ac:dyDescent="0.25">
      <c r="A25" s="3">
        <v>21</v>
      </c>
      <c r="B25" s="4">
        <v>46236</v>
      </c>
      <c r="C25" s="3" t="s">
        <v>25</v>
      </c>
      <c r="D25" s="3" t="s">
        <v>23</v>
      </c>
      <c r="E25" s="3" t="s">
        <v>29</v>
      </c>
      <c r="F25" s="3">
        <v>228</v>
      </c>
      <c r="G25" s="3">
        <v>219</v>
      </c>
      <c r="H25" s="3">
        <v>9</v>
      </c>
      <c r="I25" s="5">
        <f t="shared" si="1"/>
        <v>3.9473684210526314E-2</v>
      </c>
      <c r="J25" s="6">
        <f t="shared" si="2"/>
        <v>39473.684210526313</v>
      </c>
      <c r="K25" s="7">
        <v>1.74</v>
      </c>
      <c r="L25" s="3">
        <v>414</v>
      </c>
      <c r="M25" s="3">
        <v>450</v>
      </c>
      <c r="N25" s="3">
        <v>36</v>
      </c>
      <c r="O25" s="5">
        <f t="shared" si="3"/>
        <v>0.92</v>
      </c>
      <c r="P25" s="5">
        <f t="shared" si="4"/>
        <v>0.95826086956521728</v>
      </c>
      <c r="Q25" s="5">
        <f t="shared" si="5"/>
        <v>0.96052631578947367</v>
      </c>
      <c r="R25" s="5">
        <f t="shared" si="6"/>
        <v>0.84679999999999989</v>
      </c>
    </row>
    <row r="26" spans="1:18" x14ac:dyDescent="0.25">
      <c r="A26" s="3">
        <v>22</v>
      </c>
      <c r="B26" s="4">
        <v>46236</v>
      </c>
      <c r="C26" s="3" t="s">
        <v>28</v>
      </c>
      <c r="D26" s="3" t="s">
        <v>19</v>
      </c>
      <c r="E26" s="3" t="s">
        <v>22</v>
      </c>
      <c r="F26" s="3">
        <v>222</v>
      </c>
      <c r="G26" s="3">
        <v>217</v>
      </c>
      <c r="H26" s="3">
        <v>5</v>
      </c>
      <c r="I26" s="5">
        <f t="shared" si="1"/>
        <v>2.2522522522522521E-2</v>
      </c>
      <c r="J26" s="6">
        <f t="shared" si="2"/>
        <v>22522.522522522522</v>
      </c>
      <c r="K26" s="7">
        <v>1.78</v>
      </c>
      <c r="L26" s="3">
        <v>422</v>
      </c>
      <c r="M26" s="3">
        <v>450</v>
      </c>
      <c r="N26" s="3">
        <v>28</v>
      </c>
      <c r="O26" s="5">
        <f t="shared" si="3"/>
        <v>0.93777777777777782</v>
      </c>
      <c r="P26" s="5">
        <f t="shared" si="4"/>
        <v>0.93639810426540293</v>
      </c>
      <c r="Q26" s="5">
        <f t="shared" si="5"/>
        <v>0.97747747747747749</v>
      </c>
      <c r="R26" s="5">
        <f t="shared" si="6"/>
        <v>0.85835555555555565</v>
      </c>
    </row>
    <row r="27" spans="1:18" x14ac:dyDescent="0.25">
      <c r="A27" s="3">
        <v>23</v>
      </c>
      <c r="B27" s="4">
        <v>46236</v>
      </c>
      <c r="C27" s="3" t="s">
        <v>28</v>
      </c>
      <c r="D27" s="3" t="s">
        <v>21</v>
      </c>
      <c r="E27" s="3" t="s">
        <v>24</v>
      </c>
      <c r="F27" s="3">
        <v>191</v>
      </c>
      <c r="G27" s="3">
        <v>187</v>
      </c>
      <c r="H27" s="3">
        <v>4</v>
      </c>
      <c r="I27" s="5">
        <f t="shared" si="1"/>
        <v>2.0942408376963352E-2</v>
      </c>
      <c r="J27" s="6">
        <f t="shared" si="2"/>
        <v>20942.408376963351</v>
      </c>
      <c r="K27" s="7">
        <v>1.78</v>
      </c>
      <c r="L27" s="3">
        <v>424</v>
      </c>
      <c r="M27" s="3">
        <v>450</v>
      </c>
      <c r="N27" s="3">
        <v>26</v>
      </c>
      <c r="O27" s="5">
        <f t="shared" si="3"/>
        <v>0.94222222222222218</v>
      </c>
      <c r="P27" s="5">
        <f t="shared" si="4"/>
        <v>0.80183962264150943</v>
      </c>
      <c r="Q27" s="5">
        <f t="shared" si="5"/>
        <v>0.97905759162303663</v>
      </c>
      <c r="R27" s="5">
        <f t="shared" si="6"/>
        <v>0.73968888888888884</v>
      </c>
    </row>
    <row r="28" spans="1:18" x14ac:dyDescent="0.25">
      <c r="A28" s="3">
        <v>24</v>
      </c>
      <c r="B28" s="4">
        <v>46236</v>
      </c>
      <c r="C28" s="3" t="s">
        <v>28</v>
      </c>
      <c r="D28" s="3" t="s">
        <v>23</v>
      </c>
      <c r="E28" s="3" t="s">
        <v>24</v>
      </c>
      <c r="F28" s="3">
        <v>265</v>
      </c>
      <c r="G28" s="3">
        <v>260</v>
      </c>
      <c r="H28" s="3">
        <v>5</v>
      </c>
      <c r="I28" s="5">
        <f t="shared" si="1"/>
        <v>1.8867924528301886E-2</v>
      </c>
      <c r="J28" s="6">
        <f t="shared" si="2"/>
        <v>18867.924528301886</v>
      </c>
      <c r="K28" s="7">
        <v>1.62</v>
      </c>
      <c r="L28" s="3">
        <v>440</v>
      </c>
      <c r="M28" s="3">
        <v>450</v>
      </c>
      <c r="N28" s="3">
        <v>10</v>
      </c>
      <c r="O28" s="5">
        <f t="shared" si="3"/>
        <v>0.97777777777777775</v>
      </c>
      <c r="P28" s="5">
        <f t="shared" si="4"/>
        <v>0.97568181818181821</v>
      </c>
      <c r="Q28" s="5">
        <f t="shared" si="5"/>
        <v>0.98113207547169812</v>
      </c>
      <c r="R28" s="5">
        <f t="shared" si="6"/>
        <v>0.93599999999999994</v>
      </c>
    </row>
    <row r="29" spans="1:18" x14ac:dyDescent="0.25">
      <c r="A29" s="3">
        <v>25</v>
      </c>
      <c r="B29" s="4">
        <v>46236</v>
      </c>
      <c r="C29" s="3" t="s">
        <v>30</v>
      </c>
      <c r="D29" s="3" t="s">
        <v>19</v>
      </c>
      <c r="E29" s="3" t="s">
        <v>26</v>
      </c>
      <c r="F29" s="3">
        <v>242</v>
      </c>
      <c r="G29" s="3">
        <v>238</v>
      </c>
      <c r="H29" s="3">
        <v>4</v>
      </c>
      <c r="I29" s="5">
        <f t="shared" si="1"/>
        <v>1.6528925619834711E-2</v>
      </c>
      <c r="J29" s="6">
        <f t="shared" si="2"/>
        <v>16528.92561983471</v>
      </c>
      <c r="K29" s="7">
        <v>1.77</v>
      </c>
      <c r="L29" s="3">
        <v>428</v>
      </c>
      <c r="M29" s="3">
        <v>450</v>
      </c>
      <c r="N29" s="3">
        <v>22</v>
      </c>
      <c r="O29" s="5">
        <f t="shared" si="3"/>
        <v>0.95111111111111113</v>
      </c>
      <c r="P29" s="5">
        <f t="shared" si="4"/>
        <v>1.0007943925233647</v>
      </c>
      <c r="Q29" s="5">
        <f t="shared" si="5"/>
        <v>0.98347107438016534</v>
      </c>
      <c r="R29" s="5">
        <f t="shared" si="6"/>
        <v>0.93613333333333359</v>
      </c>
    </row>
    <row r="30" spans="1:18" x14ac:dyDescent="0.25">
      <c r="A30" s="3">
        <v>26</v>
      </c>
      <c r="B30" s="4">
        <v>46236</v>
      </c>
      <c r="C30" s="3" t="s">
        <v>30</v>
      </c>
      <c r="D30" s="3" t="s">
        <v>21</v>
      </c>
      <c r="E30" s="3" t="s">
        <v>32</v>
      </c>
      <c r="F30" s="3">
        <v>274</v>
      </c>
      <c r="G30" s="3">
        <v>266</v>
      </c>
      <c r="H30" s="3">
        <v>8</v>
      </c>
      <c r="I30" s="5">
        <f t="shared" si="1"/>
        <v>2.9197080291970802E-2</v>
      </c>
      <c r="J30" s="6">
        <f t="shared" si="2"/>
        <v>29197.0802919708</v>
      </c>
      <c r="K30" s="7">
        <v>1.47</v>
      </c>
      <c r="L30" s="3">
        <v>433</v>
      </c>
      <c r="M30" s="3">
        <v>450</v>
      </c>
      <c r="N30" s="3">
        <v>17</v>
      </c>
      <c r="O30" s="5">
        <f t="shared" si="3"/>
        <v>0.9622222222222222</v>
      </c>
      <c r="P30" s="5">
        <f t="shared" si="4"/>
        <v>0.93020785219399527</v>
      </c>
      <c r="Q30" s="5">
        <f t="shared" si="5"/>
        <v>0.97080291970802923</v>
      </c>
      <c r="R30" s="5">
        <f t="shared" si="6"/>
        <v>0.86893333333333322</v>
      </c>
    </row>
    <row r="31" spans="1:18" x14ac:dyDescent="0.25">
      <c r="A31" s="3">
        <v>27</v>
      </c>
      <c r="B31" s="4">
        <v>46236</v>
      </c>
      <c r="C31" s="3" t="s">
        <v>30</v>
      </c>
      <c r="D31" s="3" t="s">
        <v>23</v>
      </c>
      <c r="E31" s="3" t="s">
        <v>31</v>
      </c>
      <c r="F31" s="3">
        <v>215</v>
      </c>
      <c r="G31" s="3">
        <v>212</v>
      </c>
      <c r="H31" s="3">
        <v>3</v>
      </c>
      <c r="I31" s="5">
        <f t="shared" si="1"/>
        <v>1.3953488372093023E-2</v>
      </c>
      <c r="J31" s="6">
        <f t="shared" si="2"/>
        <v>13953.488372093023</v>
      </c>
      <c r="K31" s="7">
        <v>1.55</v>
      </c>
      <c r="L31" s="3">
        <v>425</v>
      </c>
      <c r="M31" s="3">
        <v>450</v>
      </c>
      <c r="N31" s="3">
        <v>25</v>
      </c>
      <c r="O31" s="5">
        <f t="shared" si="3"/>
        <v>0.94444444444444442</v>
      </c>
      <c r="P31" s="5">
        <f t="shared" si="4"/>
        <v>0.78411764705882347</v>
      </c>
      <c r="Q31" s="5">
        <f t="shared" si="5"/>
        <v>0.98604651162790702</v>
      </c>
      <c r="R31" s="5">
        <f t="shared" si="6"/>
        <v>0.73022222222222222</v>
      </c>
    </row>
    <row r="32" spans="1:18" x14ac:dyDescent="0.25">
      <c r="A32" s="3">
        <v>28</v>
      </c>
      <c r="B32" s="4">
        <v>46236</v>
      </c>
      <c r="C32" s="3" t="s">
        <v>33</v>
      </c>
      <c r="D32" s="3" t="s">
        <v>19</v>
      </c>
      <c r="E32" s="3" t="s">
        <v>31</v>
      </c>
      <c r="F32" s="3">
        <v>279</v>
      </c>
      <c r="G32" s="3">
        <v>278</v>
      </c>
      <c r="H32" s="3">
        <v>1</v>
      </c>
      <c r="I32" s="5">
        <f t="shared" si="1"/>
        <v>3.5842293906810036E-3</v>
      </c>
      <c r="J32" s="6">
        <f t="shared" si="2"/>
        <v>3584.2293906810037</v>
      </c>
      <c r="K32" s="7">
        <v>1.38</v>
      </c>
      <c r="L32" s="3">
        <v>426</v>
      </c>
      <c r="M32" s="3">
        <v>450</v>
      </c>
      <c r="N32" s="3">
        <v>24</v>
      </c>
      <c r="O32" s="5">
        <f t="shared" si="3"/>
        <v>0.94666666666666666</v>
      </c>
      <c r="P32" s="5">
        <f t="shared" si="4"/>
        <v>0.9038028169014084</v>
      </c>
      <c r="Q32" s="5">
        <f t="shared" si="5"/>
        <v>0.99641577060931896</v>
      </c>
      <c r="R32" s="5">
        <f t="shared" si="6"/>
        <v>0.85253333333333325</v>
      </c>
    </row>
    <row r="33" spans="1:18" x14ac:dyDescent="0.25">
      <c r="A33" s="3">
        <v>29</v>
      </c>
      <c r="B33" s="4">
        <v>46236</v>
      </c>
      <c r="C33" s="3" t="s">
        <v>33</v>
      </c>
      <c r="D33" s="3" t="s">
        <v>21</v>
      </c>
      <c r="E33" s="3" t="s">
        <v>35</v>
      </c>
      <c r="F33" s="3">
        <v>476</v>
      </c>
      <c r="G33" s="3">
        <v>474</v>
      </c>
      <c r="H33" s="3">
        <v>2</v>
      </c>
      <c r="I33" s="5">
        <f t="shared" si="1"/>
        <v>4.2016806722689074E-3</v>
      </c>
      <c r="J33" s="6">
        <f t="shared" si="2"/>
        <v>4201.6806722689071</v>
      </c>
      <c r="K33" s="7">
        <v>0.86</v>
      </c>
      <c r="L33" s="3">
        <v>411</v>
      </c>
      <c r="M33" s="3">
        <v>450</v>
      </c>
      <c r="N33" s="3">
        <v>39</v>
      </c>
      <c r="O33" s="5">
        <f t="shared" si="3"/>
        <v>0.91333333333333333</v>
      </c>
      <c r="P33" s="5">
        <f t="shared" si="4"/>
        <v>0.99600973236009738</v>
      </c>
      <c r="Q33" s="5">
        <f t="shared" si="5"/>
        <v>0.99579831932773111</v>
      </c>
      <c r="R33" s="5">
        <f t="shared" si="6"/>
        <v>0.90586666666666671</v>
      </c>
    </row>
    <row r="34" spans="1:18" x14ac:dyDescent="0.25">
      <c r="A34" s="3">
        <v>30</v>
      </c>
      <c r="B34" s="4">
        <v>46236</v>
      </c>
      <c r="C34" s="3" t="s">
        <v>33</v>
      </c>
      <c r="D34" s="3" t="s">
        <v>23</v>
      </c>
      <c r="E34" s="3" t="s">
        <v>34</v>
      </c>
      <c r="F34" s="3">
        <v>361</v>
      </c>
      <c r="G34" s="3">
        <v>349</v>
      </c>
      <c r="H34" s="3">
        <v>12</v>
      </c>
      <c r="I34" s="5">
        <f t="shared" si="1"/>
        <v>3.3240997229916899E-2</v>
      </c>
      <c r="J34" s="6">
        <f t="shared" si="2"/>
        <v>33240.997229916902</v>
      </c>
      <c r="K34" s="7">
        <v>0.92</v>
      </c>
      <c r="L34" s="3">
        <v>420</v>
      </c>
      <c r="M34" s="3">
        <v>450</v>
      </c>
      <c r="N34" s="3">
        <v>30</v>
      </c>
      <c r="O34" s="5">
        <f t="shared" si="3"/>
        <v>0.93333333333333335</v>
      </c>
      <c r="P34" s="5">
        <f t="shared" si="4"/>
        <v>0.79076190476190478</v>
      </c>
      <c r="Q34" s="5">
        <f t="shared" si="5"/>
        <v>0.96675900277008309</v>
      </c>
      <c r="R34" s="5">
        <f t="shared" si="6"/>
        <v>0.71351111111111121</v>
      </c>
    </row>
    <row r="35" spans="1:18" x14ac:dyDescent="0.25">
      <c r="A35" s="3">
        <v>31</v>
      </c>
      <c r="B35" s="4">
        <v>46237</v>
      </c>
      <c r="C35" s="3" t="s">
        <v>18</v>
      </c>
      <c r="D35" s="3" t="s">
        <v>19</v>
      </c>
      <c r="E35" s="3" t="s">
        <v>34</v>
      </c>
      <c r="F35" s="3">
        <v>537</v>
      </c>
      <c r="G35" s="3">
        <v>519</v>
      </c>
      <c r="H35" s="3">
        <v>18</v>
      </c>
      <c r="I35" s="5">
        <f t="shared" si="1"/>
        <v>3.3519553072625698E-2</v>
      </c>
      <c r="J35" s="6">
        <f t="shared" si="2"/>
        <v>33519.553072625698</v>
      </c>
      <c r="K35" s="7">
        <v>0.72</v>
      </c>
      <c r="L35" s="3">
        <v>388</v>
      </c>
      <c r="M35" s="3">
        <v>450</v>
      </c>
      <c r="N35" s="3">
        <v>62</v>
      </c>
      <c r="O35" s="5">
        <f t="shared" si="3"/>
        <v>0.86222222222222222</v>
      </c>
      <c r="P35" s="5">
        <f t="shared" si="4"/>
        <v>0.99649484536082467</v>
      </c>
      <c r="Q35" s="5">
        <f t="shared" si="5"/>
        <v>0.96648044692737434</v>
      </c>
      <c r="R35" s="5">
        <f t="shared" si="6"/>
        <v>0.83040000000000003</v>
      </c>
    </row>
    <row r="36" spans="1:18" x14ac:dyDescent="0.25">
      <c r="A36" s="3">
        <v>32</v>
      </c>
      <c r="B36" s="4">
        <v>46237</v>
      </c>
      <c r="C36" s="3" t="s">
        <v>18</v>
      </c>
      <c r="D36" s="3" t="s">
        <v>21</v>
      </c>
      <c r="E36" s="3" t="s">
        <v>34</v>
      </c>
      <c r="F36" s="3">
        <v>239</v>
      </c>
      <c r="G36" s="3">
        <v>230</v>
      </c>
      <c r="H36" s="3">
        <v>9</v>
      </c>
      <c r="I36" s="5">
        <f t="shared" si="1"/>
        <v>3.7656903765690378E-2</v>
      </c>
      <c r="J36" s="6">
        <f t="shared" si="2"/>
        <v>37656.903765690375</v>
      </c>
      <c r="K36" s="7">
        <v>1.63</v>
      </c>
      <c r="L36" s="3">
        <v>427</v>
      </c>
      <c r="M36" s="3">
        <v>450</v>
      </c>
      <c r="N36" s="3">
        <v>23</v>
      </c>
      <c r="O36" s="5">
        <f t="shared" si="3"/>
        <v>0.94888888888888889</v>
      </c>
      <c r="P36" s="5">
        <f t="shared" si="4"/>
        <v>0.91234192037470729</v>
      </c>
      <c r="Q36" s="5">
        <f t="shared" si="5"/>
        <v>0.96234309623430958</v>
      </c>
      <c r="R36" s="5">
        <f t="shared" si="6"/>
        <v>0.83311111111111102</v>
      </c>
    </row>
    <row r="37" spans="1:18" x14ac:dyDescent="0.25">
      <c r="A37" s="3">
        <v>33</v>
      </c>
      <c r="B37" s="4">
        <v>46237</v>
      </c>
      <c r="C37" s="3" t="s">
        <v>18</v>
      </c>
      <c r="D37" s="3" t="s">
        <v>23</v>
      </c>
      <c r="E37" s="3" t="s">
        <v>26</v>
      </c>
      <c r="F37" s="3">
        <v>509</v>
      </c>
      <c r="G37" s="3">
        <v>507</v>
      </c>
      <c r="H37" s="3">
        <v>2</v>
      </c>
      <c r="I37" s="5">
        <f t="shared" si="1"/>
        <v>3.929273084479371E-3</v>
      </c>
      <c r="J37" s="6">
        <f t="shared" si="2"/>
        <v>3929.2730844793709</v>
      </c>
      <c r="K37" s="7">
        <v>0.71</v>
      </c>
      <c r="L37" s="3">
        <v>432</v>
      </c>
      <c r="M37" s="3">
        <v>450</v>
      </c>
      <c r="N37" s="3">
        <v>18</v>
      </c>
      <c r="O37" s="5">
        <f t="shared" si="3"/>
        <v>0.96</v>
      </c>
      <c r="P37" s="5">
        <f t="shared" si="4"/>
        <v>0.83655092592592595</v>
      </c>
      <c r="Q37" s="5">
        <f t="shared" si="5"/>
        <v>0.99607072691552068</v>
      </c>
      <c r="R37" s="5">
        <f t="shared" si="6"/>
        <v>0.79993333333333339</v>
      </c>
    </row>
    <row r="38" spans="1:18" x14ac:dyDescent="0.25">
      <c r="A38" s="3">
        <v>34</v>
      </c>
      <c r="B38" s="4">
        <v>46237</v>
      </c>
      <c r="C38" s="3" t="s">
        <v>25</v>
      </c>
      <c r="D38" s="3" t="s">
        <v>19</v>
      </c>
      <c r="E38" s="3" t="s">
        <v>29</v>
      </c>
      <c r="F38" s="3">
        <v>226</v>
      </c>
      <c r="G38" s="3">
        <v>218</v>
      </c>
      <c r="H38" s="3">
        <v>8</v>
      </c>
      <c r="I38" s="5">
        <f t="shared" si="1"/>
        <v>3.5398230088495575E-2</v>
      </c>
      <c r="J38" s="6">
        <f t="shared" si="2"/>
        <v>35398.230088495577</v>
      </c>
      <c r="K38" s="7">
        <v>1.74</v>
      </c>
      <c r="L38" s="3">
        <v>419</v>
      </c>
      <c r="M38" s="3">
        <v>450</v>
      </c>
      <c r="N38" s="3">
        <v>31</v>
      </c>
      <c r="O38" s="5">
        <f t="shared" si="3"/>
        <v>0.93111111111111111</v>
      </c>
      <c r="P38" s="5">
        <f t="shared" si="4"/>
        <v>0.93852028639618146</v>
      </c>
      <c r="Q38" s="5">
        <f t="shared" si="5"/>
        <v>0.96460176991150437</v>
      </c>
      <c r="R38" s="5">
        <f t="shared" si="6"/>
        <v>0.84293333333333331</v>
      </c>
    </row>
    <row r="39" spans="1:18" x14ac:dyDescent="0.25">
      <c r="A39" s="3">
        <v>35</v>
      </c>
      <c r="B39" s="4">
        <v>46237</v>
      </c>
      <c r="C39" s="3" t="s">
        <v>25</v>
      </c>
      <c r="D39" s="3" t="s">
        <v>21</v>
      </c>
      <c r="E39" s="3" t="s">
        <v>34</v>
      </c>
      <c r="F39" s="3">
        <v>322</v>
      </c>
      <c r="G39" s="3">
        <v>315</v>
      </c>
      <c r="H39" s="3">
        <v>7</v>
      </c>
      <c r="I39" s="5">
        <f t="shared" si="1"/>
        <v>2.1739130434782608E-2</v>
      </c>
      <c r="J39" s="6">
        <f t="shared" si="2"/>
        <v>21739.130434782608</v>
      </c>
      <c r="K39" s="7">
        <v>1.1200000000000001</v>
      </c>
      <c r="L39" s="3">
        <v>402</v>
      </c>
      <c r="M39" s="3">
        <v>450</v>
      </c>
      <c r="N39" s="3">
        <v>48</v>
      </c>
      <c r="O39" s="5">
        <f t="shared" si="3"/>
        <v>0.89333333333333331</v>
      </c>
      <c r="P39" s="5">
        <f t="shared" si="4"/>
        <v>0.89711442786069662</v>
      </c>
      <c r="Q39" s="5">
        <f t="shared" si="5"/>
        <v>0.97826086956521741</v>
      </c>
      <c r="R39" s="5">
        <f t="shared" si="6"/>
        <v>0.78400000000000003</v>
      </c>
    </row>
    <row r="40" spans="1:18" x14ac:dyDescent="0.25">
      <c r="A40" s="3">
        <v>36</v>
      </c>
      <c r="B40" s="4">
        <v>46237</v>
      </c>
      <c r="C40" s="3" t="s">
        <v>25</v>
      </c>
      <c r="D40" s="3" t="s">
        <v>23</v>
      </c>
      <c r="E40" s="3" t="s">
        <v>27</v>
      </c>
      <c r="F40" s="3">
        <v>334</v>
      </c>
      <c r="G40" s="3">
        <v>322</v>
      </c>
      <c r="H40" s="3">
        <v>12</v>
      </c>
      <c r="I40" s="5">
        <f t="shared" si="1"/>
        <v>3.5928143712574849E-2</v>
      </c>
      <c r="J40" s="6">
        <f t="shared" si="2"/>
        <v>35928.143712574849</v>
      </c>
      <c r="K40" s="7">
        <v>1.28</v>
      </c>
      <c r="L40" s="3">
        <v>427</v>
      </c>
      <c r="M40" s="3">
        <v>450</v>
      </c>
      <c r="N40" s="3">
        <v>23</v>
      </c>
      <c r="O40" s="5">
        <f t="shared" si="3"/>
        <v>0.94888888888888889</v>
      </c>
      <c r="P40" s="5">
        <f t="shared" si="4"/>
        <v>1.0012177985948478</v>
      </c>
      <c r="Q40" s="5">
        <f t="shared" si="5"/>
        <v>0.9640718562874252</v>
      </c>
      <c r="R40" s="5">
        <f t="shared" si="6"/>
        <v>0.91591111111111123</v>
      </c>
    </row>
    <row r="41" spans="1:18" x14ac:dyDescent="0.25">
      <c r="A41" s="3">
        <v>37</v>
      </c>
      <c r="B41" s="4">
        <v>46237</v>
      </c>
      <c r="C41" s="3" t="s">
        <v>28</v>
      </c>
      <c r="D41" s="3" t="s">
        <v>19</v>
      </c>
      <c r="E41" s="3" t="s">
        <v>20</v>
      </c>
      <c r="F41" s="3">
        <v>465</v>
      </c>
      <c r="G41" s="3">
        <v>461</v>
      </c>
      <c r="H41" s="3">
        <v>4</v>
      </c>
      <c r="I41" s="5">
        <f t="shared" si="1"/>
        <v>8.6021505376344086E-3</v>
      </c>
      <c r="J41" s="6">
        <f t="shared" si="2"/>
        <v>8602.1505376344085</v>
      </c>
      <c r="K41" s="7">
        <v>0.86</v>
      </c>
      <c r="L41" s="3">
        <v>433</v>
      </c>
      <c r="M41" s="3">
        <v>450</v>
      </c>
      <c r="N41" s="3">
        <v>17</v>
      </c>
      <c r="O41" s="5">
        <f t="shared" si="3"/>
        <v>0.9622222222222222</v>
      </c>
      <c r="P41" s="5">
        <f t="shared" si="4"/>
        <v>0.9235565819861431</v>
      </c>
      <c r="Q41" s="5">
        <f t="shared" si="5"/>
        <v>0.99139784946236564</v>
      </c>
      <c r="R41" s="5">
        <f t="shared" si="6"/>
        <v>0.88102222222222226</v>
      </c>
    </row>
    <row r="42" spans="1:18" x14ac:dyDescent="0.25">
      <c r="A42" s="3">
        <v>38</v>
      </c>
      <c r="B42" s="4">
        <v>46237</v>
      </c>
      <c r="C42" s="3" t="s">
        <v>28</v>
      </c>
      <c r="D42" s="3" t="s">
        <v>21</v>
      </c>
      <c r="E42" s="3" t="s">
        <v>24</v>
      </c>
      <c r="F42" s="3">
        <v>249</v>
      </c>
      <c r="G42" s="3">
        <v>245</v>
      </c>
      <c r="H42" s="3">
        <v>4</v>
      </c>
      <c r="I42" s="5">
        <f t="shared" si="1"/>
        <v>1.6064257028112448E-2</v>
      </c>
      <c r="J42" s="6">
        <f t="shared" si="2"/>
        <v>16064.257028112448</v>
      </c>
      <c r="K42" s="7">
        <v>1.76</v>
      </c>
      <c r="L42" s="3">
        <v>435</v>
      </c>
      <c r="M42" s="3">
        <v>450</v>
      </c>
      <c r="N42" s="3">
        <v>15</v>
      </c>
      <c r="O42" s="5">
        <f t="shared" si="3"/>
        <v>0.96666666666666667</v>
      </c>
      <c r="P42" s="5">
        <f t="shared" si="4"/>
        <v>1.0074482758620691</v>
      </c>
      <c r="Q42" s="5">
        <f t="shared" si="5"/>
        <v>0.98393574297188757</v>
      </c>
      <c r="R42" s="5">
        <f t="shared" si="6"/>
        <v>0.95822222222222231</v>
      </c>
    </row>
    <row r="43" spans="1:18" x14ac:dyDescent="0.25">
      <c r="A43" s="3">
        <v>39</v>
      </c>
      <c r="B43" s="4">
        <v>46237</v>
      </c>
      <c r="C43" s="3" t="s">
        <v>28</v>
      </c>
      <c r="D43" s="3" t="s">
        <v>23</v>
      </c>
      <c r="E43" s="3" t="s">
        <v>29</v>
      </c>
      <c r="F43" s="3">
        <v>541</v>
      </c>
      <c r="G43" s="3">
        <v>537</v>
      </c>
      <c r="H43" s="3">
        <v>4</v>
      </c>
      <c r="I43" s="5">
        <f t="shared" si="1"/>
        <v>7.3937153419593345E-3</v>
      </c>
      <c r="J43" s="6">
        <f t="shared" si="2"/>
        <v>7393.7153419593342</v>
      </c>
      <c r="K43" s="7">
        <v>0.6</v>
      </c>
      <c r="L43" s="3">
        <v>390</v>
      </c>
      <c r="M43" s="3">
        <v>450</v>
      </c>
      <c r="N43" s="3">
        <v>60</v>
      </c>
      <c r="O43" s="5">
        <f t="shared" si="3"/>
        <v>0.8666666666666667</v>
      </c>
      <c r="P43" s="5">
        <f t="shared" si="4"/>
        <v>0.83230769230769219</v>
      </c>
      <c r="Q43" s="5">
        <f t="shared" si="5"/>
        <v>0.99260628465804068</v>
      </c>
      <c r="R43" s="5">
        <f t="shared" si="6"/>
        <v>0.71599999999999997</v>
      </c>
    </row>
    <row r="44" spans="1:18" x14ac:dyDescent="0.25">
      <c r="A44" s="3">
        <v>40</v>
      </c>
      <c r="B44" s="4">
        <v>46237</v>
      </c>
      <c r="C44" s="3" t="s">
        <v>30</v>
      </c>
      <c r="D44" s="3" t="s">
        <v>19</v>
      </c>
      <c r="E44" s="3" t="s">
        <v>31</v>
      </c>
      <c r="F44" s="3">
        <v>833</v>
      </c>
      <c r="G44" s="3">
        <v>828</v>
      </c>
      <c r="H44" s="3">
        <v>5</v>
      </c>
      <c r="I44" s="5">
        <f t="shared" si="1"/>
        <v>6.0024009603841539E-3</v>
      </c>
      <c r="J44" s="6">
        <f t="shared" si="2"/>
        <v>6002.4009603841541</v>
      </c>
      <c r="K44" s="7">
        <v>0.52</v>
      </c>
      <c r="L44" s="3">
        <v>422</v>
      </c>
      <c r="M44" s="3">
        <v>450</v>
      </c>
      <c r="N44" s="3">
        <v>28</v>
      </c>
      <c r="O44" s="5">
        <f t="shared" si="3"/>
        <v>0.93777777777777782</v>
      </c>
      <c r="P44" s="5">
        <f t="shared" si="4"/>
        <v>1.0264454976303319</v>
      </c>
      <c r="Q44" s="5">
        <f t="shared" si="5"/>
        <v>0.99399759903961582</v>
      </c>
      <c r="R44" s="5">
        <f t="shared" si="6"/>
        <v>0.95680000000000021</v>
      </c>
    </row>
    <row r="45" spans="1:18" x14ac:dyDescent="0.25">
      <c r="A45" s="3">
        <v>41</v>
      </c>
      <c r="B45" s="4">
        <v>46237</v>
      </c>
      <c r="C45" s="3" t="s">
        <v>30</v>
      </c>
      <c r="D45" s="3" t="s">
        <v>21</v>
      </c>
      <c r="E45" s="3" t="s">
        <v>35</v>
      </c>
      <c r="F45" s="3">
        <v>805</v>
      </c>
      <c r="G45" s="3">
        <v>783</v>
      </c>
      <c r="H45" s="3">
        <v>22</v>
      </c>
      <c r="I45" s="5">
        <f t="shared" si="1"/>
        <v>2.732919254658385E-2</v>
      </c>
      <c r="J45" s="6">
        <f t="shared" si="2"/>
        <v>27329.19254658385</v>
      </c>
      <c r="K45" s="7">
        <v>0.54</v>
      </c>
      <c r="L45" s="3">
        <v>441</v>
      </c>
      <c r="M45" s="3">
        <v>450</v>
      </c>
      <c r="N45" s="3">
        <v>9</v>
      </c>
      <c r="O45" s="5">
        <f t="shared" si="3"/>
        <v>0.98</v>
      </c>
      <c r="P45" s="5">
        <f t="shared" si="4"/>
        <v>0.98571428571428577</v>
      </c>
      <c r="Q45" s="5">
        <f t="shared" si="5"/>
        <v>0.97267080745341616</v>
      </c>
      <c r="R45" s="5">
        <f t="shared" si="6"/>
        <v>0.9396000000000001</v>
      </c>
    </row>
    <row r="46" spans="1:18" x14ac:dyDescent="0.25">
      <c r="A46" s="3">
        <v>42</v>
      </c>
      <c r="B46" s="4">
        <v>46237</v>
      </c>
      <c r="C46" s="3" t="s">
        <v>30</v>
      </c>
      <c r="D46" s="3" t="s">
        <v>23</v>
      </c>
      <c r="E46" s="3" t="s">
        <v>20</v>
      </c>
      <c r="F46" s="3">
        <v>301</v>
      </c>
      <c r="G46" s="3">
        <v>292</v>
      </c>
      <c r="H46" s="3">
        <v>9</v>
      </c>
      <c r="I46" s="5">
        <f t="shared" si="1"/>
        <v>2.9900332225913623E-2</v>
      </c>
      <c r="J46" s="6">
        <f t="shared" si="2"/>
        <v>29900.332225913622</v>
      </c>
      <c r="K46" s="7">
        <v>1.47</v>
      </c>
      <c r="L46" s="3">
        <v>443</v>
      </c>
      <c r="M46" s="3">
        <v>450</v>
      </c>
      <c r="N46" s="3">
        <v>7</v>
      </c>
      <c r="O46" s="5">
        <f t="shared" si="3"/>
        <v>0.98444444444444446</v>
      </c>
      <c r="P46" s="5">
        <f t="shared" si="4"/>
        <v>0.99880361173814891</v>
      </c>
      <c r="Q46" s="5">
        <f t="shared" si="5"/>
        <v>0.9700996677740864</v>
      </c>
      <c r="R46" s="5">
        <f t="shared" si="6"/>
        <v>0.95386666666666664</v>
      </c>
    </row>
    <row r="47" spans="1:18" x14ac:dyDescent="0.25">
      <c r="A47" s="3">
        <v>43</v>
      </c>
      <c r="B47" s="4">
        <v>46237</v>
      </c>
      <c r="C47" s="3" t="s">
        <v>33</v>
      </c>
      <c r="D47" s="3" t="s">
        <v>19</v>
      </c>
      <c r="E47" s="3" t="s">
        <v>26</v>
      </c>
      <c r="F47" s="3">
        <v>351</v>
      </c>
      <c r="G47" s="3">
        <v>343</v>
      </c>
      <c r="H47" s="3">
        <v>8</v>
      </c>
      <c r="I47" s="5">
        <f t="shared" si="1"/>
        <v>2.2792022792022793E-2</v>
      </c>
      <c r="J47" s="6">
        <f t="shared" si="2"/>
        <v>22792.022792022792</v>
      </c>
      <c r="K47" s="7">
        <v>1.1100000000000001</v>
      </c>
      <c r="L47" s="3">
        <v>407</v>
      </c>
      <c r="M47" s="3">
        <v>450</v>
      </c>
      <c r="N47" s="3">
        <v>43</v>
      </c>
      <c r="O47" s="5">
        <f t="shared" si="3"/>
        <v>0.9044444444444445</v>
      </c>
      <c r="P47" s="5">
        <f t="shared" si="4"/>
        <v>0.95727272727272728</v>
      </c>
      <c r="Q47" s="5">
        <f t="shared" si="5"/>
        <v>0.97720797720797725</v>
      </c>
      <c r="R47" s="5">
        <f t="shared" si="6"/>
        <v>0.84606666666666674</v>
      </c>
    </row>
    <row r="48" spans="1:18" x14ac:dyDescent="0.25">
      <c r="A48" s="3">
        <v>44</v>
      </c>
      <c r="B48" s="4">
        <v>46237</v>
      </c>
      <c r="C48" s="3" t="s">
        <v>33</v>
      </c>
      <c r="D48" s="3" t="s">
        <v>21</v>
      </c>
      <c r="E48" s="3" t="s">
        <v>24</v>
      </c>
      <c r="F48" s="3">
        <v>420</v>
      </c>
      <c r="G48" s="3">
        <v>405</v>
      </c>
      <c r="H48" s="3">
        <v>15</v>
      </c>
      <c r="I48" s="5">
        <f t="shared" si="1"/>
        <v>3.5714285714285712E-2</v>
      </c>
      <c r="J48" s="6">
        <f t="shared" si="2"/>
        <v>35714.28571428571</v>
      </c>
      <c r="K48" s="7">
        <v>0.85</v>
      </c>
      <c r="L48" s="3">
        <v>435</v>
      </c>
      <c r="M48" s="3">
        <v>450</v>
      </c>
      <c r="N48" s="3">
        <v>15</v>
      </c>
      <c r="O48" s="5">
        <f t="shared" si="3"/>
        <v>0.96666666666666667</v>
      </c>
      <c r="P48" s="5">
        <f t="shared" si="4"/>
        <v>0.82068965517241377</v>
      </c>
      <c r="Q48" s="5">
        <f t="shared" si="5"/>
        <v>0.9642857142857143</v>
      </c>
      <c r="R48" s="5">
        <f t="shared" si="6"/>
        <v>0.76500000000000001</v>
      </c>
    </row>
    <row r="49" spans="1:18" x14ac:dyDescent="0.25">
      <c r="A49" s="3">
        <v>45</v>
      </c>
      <c r="B49" s="4">
        <v>46237</v>
      </c>
      <c r="C49" s="3" t="s">
        <v>33</v>
      </c>
      <c r="D49" s="3" t="s">
        <v>23</v>
      </c>
      <c r="E49" s="3" t="s">
        <v>26</v>
      </c>
      <c r="F49" s="3">
        <v>467</v>
      </c>
      <c r="G49" s="3">
        <v>461</v>
      </c>
      <c r="H49" s="3">
        <v>6</v>
      </c>
      <c r="I49" s="5">
        <f t="shared" si="1"/>
        <v>1.284796573875803E-2</v>
      </c>
      <c r="J49" s="6">
        <f t="shared" si="2"/>
        <v>12847.96573875803</v>
      </c>
      <c r="K49" s="7">
        <v>0.73</v>
      </c>
      <c r="L49" s="3">
        <v>417</v>
      </c>
      <c r="M49" s="3">
        <v>450</v>
      </c>
      <c r="N49" s="3">
        <v>33</v>
      </c>
      <c r="O49" s="5">
        <f t="shared" si="3"/>
        <v>0.92666666666666664</v>
      </c>
      <c r="P49" s="5">
        <f t="shared" si="4"/>
        <v>0.81752997601918453</v>
      </c>
      <c r="Q49" s="5">
        <f t="shared" si="5"/>
        <v>0.98715203426124198</v>
      </c>
      <c r="R49" s="5">
        <f t="shared" si="6"/>
        <v>0.74784444444444431</v>
      </c>
    </row>
    <row r="50" spans="1:18" x14ac:dyDescent="0.25">
      <c r="A50" s="3">
        <v>46</v>
      </c>
      <c r="B50" s="4">
        <v>46238</v>
      </c>
      <c r="C50" s="3" t="s">
        <v>18</v>
      </c>
      <c r="D50" s="3" t="s">
        <v>19</v>
      </c>
      <c r="E50" s="3" t="s">
        <v>26</v>
      </c>
      <c r="F50" s="3">
        <v>244</v>
      </c>
      <c r="G50" s="3">
        <v>234</v>
      </c>
      <c r="H50" s="3">
        <v>10</v>
      </c>
      <c r="I50" s="5">
        <f t="shared" si="1"/>
        <v>4.0983606557377046E-2</v>
      </c>
      <c r="J50" s="6">
        <f t="shared" si="2"/>
        <v>40983.606557377047</v>
      </c>
      <c r="K50" s="7">
        <v>1.57</v>
      </c>
      <c r="L50" s="3">
        <v>403</v>
      </c>
      <c r="M50" s="3">
        <v>450</v>
      </c>
      <c r="N50" s="3">
        <v>47</v>
      </c>
      <c r="O50" s="5">
        <f t="shared" si="3"/>
        <v>0.89555555555555555</v>
      </c>
      <c r="P50" s="5">
        <f t="shared" si="4"/>
        <v>0.95057071960297779</v>
      </c>
      <c r="Q50" s="5">
        <f t="shared" si="5"/>
        <v>0.95901639344262291</v>
      </c>
      <c r="R50" s="5">
        <f t="shared" si="6"/>
        <v>0.81640000000000001</v>
      </c>
    </row>
    <row r="51" spans="1:18" x14ac:dyDescent="0.25">
      <c r="A51" s="3">
        <v>47</v>
      </c>
      <c r="B51" s="4">
        <v>46238</v>
      </c>
      <c r="C51" s="3" t="s">
        <v>18</v>
      </c>
      <c r="D51" s="3" t="s">
        <v>21</v>
      </c>
      <c r="E51" s="3" t="s">
        <v>27</v>
      </c>
      <c r="F51" s="3">
        <v>897</v>
      </c>
      <c r="G51" s="3">
        <v>883</v>
      </c>
      <c r="H51" s="3">
        <v>14</v>
      </c>
      <c r="I51" s="5">
        <f t="shared" si="1"/>
        <v>1.560758082497213E-2</v>
      </c>
      <c r="J51" s="6">
        <f t="shared" si="2"/>
        <v>15607.58082497213</v>
      </c>
      <c r="K51" s="7">
        <v>0.46</v>
      </c>
      <c r="L51" s="3">
        <v>425</v>
      </c>
      <c r="M51" s="3">
        <v>450</v>
      </c>
      <c r="N51" s="3">
        <v>25</v>
      </c>
      <c r="O51" s="5">
        <f t="shared" si="3"/>
        <v>0.94444444444444442</v>
      </c>
      <c r="P51" s="5">
        <f t="shared" si="4"/>
        <v>0.97087058823529415</v>
      </c>
      <c r="Q51" s="5">
        <f t="shared" si="5"/>
        <v>0.98439241917502784</v>
      </c>
      <c r="R51" s="5">
        <f t="shared" si="6"/>
        <v>0.90262222222222221</v>
      </c>
    </row>
    <row r="52" spans="1:18" x14ac:dyDescent="0.25">
      <c r="A52" s="3">
        <v>48</v>
      </c>
      <c r="B52" s="4">
        <v>46238</v>
      </c>
      <c r="C52" s="3" t="s">
        <v>18</v>
      </c>
      <c r="D52" s="3" t="s">
        <v>23</v>
      </c>
      <c r="E52" s="3" t="s">
        <v>22</v>
      </c>
      <c r="F52" s="3">
        <v>638</v>
      </c>
      <c r="G52" s="3">
        <v>628</v>
      </c>
      <c r="H52" s="3">
        <v>10</v>
      </c>
      <c r="I52" s="5">
        <f t="shared" si="1"/>
        <v>1.5673981191222569E-2</v>
      </c>
      <c r="J52" s="6">
        <f t="shared" si="2"/>
        <v>15673.981191222569</v>
      </c>
      <c r="K52" s="7">
        <v>0.66</v>
      </c>
      <c r="L52" s="3">
        <v>418</v>
      </c>
      <c r="M52" s="3">
        <v>450</v>
      </c>
      <c r="N52" s="3">
        <v>32</v>
      </c>
      <c r="O52" s="5">
        <f t="shared" si="3"/>
        <v>0.92888888888888888</v>
      </c>
      <c r="P52" s="5">
        <f t="shared" si="4"/>
        <v>1.0073684210526317</v>
      </c>
      <c r="Q52" s="5">
        <f t="shared" si="5"/>
        <v>0.98432601880877746</v>
      </c>
      <c r="R52" s="5">
        <f t="shared" si="6"/>
        <v>0.92106666666666681</v>
      </c>
    </row>
    <row r="53" spans="1:18" x14ac:dyDescent="0.25">
      <c r="A53" s="3">
        <v>49</v>
      </c>
      <c r="B53" s="4">
        <v>46238</v>
      </c>
      <c r="C53" s="3" t="s">
        <v>25</v>
      </c>
      <c r="D53" s="3" t="s">
        <v>19</v>
      </c>
      <c r="E53" s="3" t="s">
        <v>22</v>
      </c>
      <c r="F53" s="3">
        <v>293</v>
      </c>
      <c r="G53" s="3">
        <v>285</v>
      </c>
      <c r="H53" s="3">
        <v>8</v>
      </c>
      <c r="I53" s="5">
        <f t="shared" si="1"/>
        <v>2.7303754266211604E-2</v>
      </c>
      <c r="J53" s="6">
        <f t="shared" si="2"/>
        <v>27303.754266211603</v>
      </c>
      <c r="K53" s="7">
        <v>1.17</v>
      </c>
      <c r="L53" s="3">
        <v>403</v>
      </c>
      <c r="M53" s="3">
        <v>450</v>
      </c>
      <c r="N53" s="3">
        <v>47</v>
      </c>
      <c r="O53" s="5">
        <f t="shared" si="3"/>
        <v>0.89555555555555555</v>
      </c>
      <c r="P53" s="5">
        <f t="shared" si="4"/>
        <v>0.85064516129032264</v>
      </c>
      <c r="Q53" s="5">
        <f t="shared" si="5"/>
        <v>0.97269624573378843</v>
      </c>
      <c r="R53" s="5">
        <f t="shared" si="6"/>
        <v>0.7410000000000001</v>
      </c>
    </row>
    <row r="54" spans="1:18" x14ac:dyDescent="0.25">
      <c r="A54" s="3">
        <v>50</v>
      </c>
      <c r="B54" s="4">
        <v>46238</v>
      </c>
      <c r="C54" s="3" t="s">
        <v>25</v>
      </c>
      <c r="D54" s="3" t="s">
        <v>21</v>
      </c>
      <c r="E54" s="3" t="s">
        <v>26</v>
      </c>
      <c r="F54" s="3">
        <v>312</v>
      </c>
      <c r="G54" s="3">
        <v>309</v>
      </c>
      <c r="H54" s="3">
        <v>3</v>
      </c>
      <c r="I54" s="5">
        <f t="shared" si="1"/>
        <v>9.6153846153846159E-3</v>
      </c>
      <c r="J54" s="6">
        <f t="shared" si="2"/>
        <v>9615.3846153846152</v>
      </c>
      <c r="K54" s="7">
        <v>1.25</v>
      </c>
      <c r="L54" s="3">
        <v>418</v>
      </c>
      <c r="M54" s="3">
        <v>450</v>
      </c>
      <c r="N54" s="3">
        <v>32</v>
      </c>
      <c r="O54" s="5">
        <f t="shared" si="3"/>
        <v>0.92888888888888888</v>
      </c>
      <c r="P54" s="5">
        <f t="shared" si="4"/>
        <v>0.93301435406698563</v>
      </c>
      <c r="Q54" s="5">
        <f t="shared" si="5"/>
        <v>0.99038461538461542</v>
      </c>
      <c r="R54" s="5">
        <f t="shared" si="6"/>
        <v>0.85833333333333328</v>
      </c>
    </row>
    <row r="55" spans="1:18" x14ac:dyDescent="0.25">
      <c r="A55" s="3">
        <v>51</v>
      </c>
      <c r="B55" s="4">
        <v>46238</v>
      </c>
      <c r="C55" s="3" t="s">
        <v>25</v>
      </c>
      <c r="D55" s="3" t="s">
        <v>23</v>
      </c>
      <c r="E55" s="3" t="s">
        <v>34</v>
      </c>
      <c r="F55" s="3">
        <v>284</v>
      </c>
      <c r="G55" s="3">
        <v>275</v>
      </c>
      <c r="H55" s="3">
        <v>9</v>
      </c>
      <c r="I55" s="5">
        <f t="shared" si="1"/>
        <v>3.1690140845070422E-2</v>
      </c>
      <c r="J55" s="6">
        <f t="shared" si="2"/>
        <v>31690.140845070422</v>
      </c>
      <c r="K55" s="7">
        <v>1.36</v>
      </c>
      <c r="L55" s="3">
        <v>408</v>
      </c>
      <c r="M55" s="3">
        <v>450</v>
      </c>
      <c r="N55" s="3">
        <v>42</v>
      </c>
      <c r="O55" s="5">
        <f t="shared" si="3"/>
        <v>0.90666666666666662</v>
      </c>
      <c r="P55" s="5">
        <f t="shared" si="4"/>
        <v>0.94666666666666666</v>
      </c>
      <c r="Q55" s="5">
        <f t="shared" si="5"/>
        <v>0.96830985915492962</v>
      </c>
      <c r="R55" s="5">
        <f t="shared" si="6"/>
        <v>0.83111111111111102</v>
      </c>
    </row>
    <row r="56" spans="1:18" x14ac:dyDescent="0.25">
      <c r="A56" s="3">
        <v>52</v>
      </c>
      <c r="B56" s="4">
        <v>46238</v>
      </c>
      <c r="C56" s="3" t="s">
        <v>28</v>
      </c>
      <c r="D56" s="3" t="s">
        <v>19</v>
      </c>
      <c r="E56" s="3" t="s">
        <v>31</v>
      </c>
      <c r="F56" s="3">
        <v>767</v>
      </c>
      <c r="G56" s="3">
        <v>762</v>
      </c>
      <c r="H56" s="3">
        <v>5</v>
      </c>
      <c r="I56" s="5">
        <f t="shared" si="1"/>
        <v>6.51890482398957E-3</v>
      </c>
      <c r="J56" s="6">
        <f t="shared" si="2"/>
        <v>6518.9048239895701</v>
      </c>
      <c r="K56" s="7">
        <v>0.46</v>
      </c>
      <c r="L56" s="3">
        <v>400</v>
      </c>
      <c r="M56" s="3">
        <v>450</v>
      </c>
      <c r="N56" s="3">
        <v>50</v>
      </c>
      <c r="O56" s="5">
        <f t="shared" si="3"/>
        <v>0.88888888888888884</v>
      </c>
      <c r="P56" s="5">
        <f t="shared" si="4"/>
        <v>0.88205</v>
      </c>
      <c r="Q56" s="5">
        <f t="shared" si="5"/>
        <v>0.99348109517601046</v>
      </c>
      <c r="R56" s="5">
        <f t="shared" si="6"/>
        <v>0.77893333333333337</v>
      </c>
    </row>
    <row r="57" spans="1:18" x14ac:dyDescent="0.25">
      <c r="A57" s="3">
        <v>53</v>
      </c>
      <c r="B57" s="4">
        <v>46238</v>
      </c>
      <c r="C57" s="3" t="s">
        <v>28</v>
      </c>
      <c r="D57" s="3" t="s">
        <v>21</v>
      </c>
      <c r="E57" s="3" t="s">
        <v>20</v>
      </c>
      <c r="F57" s="3">
        <v>555</v>
      </c>
      <c r="G57" s="3">
        <v>536</v>
      </c>
      <c r="H57" s="3">
        <v>19</v>
      </c>
      <c r="I57" s="5">
        <f t="shared" si="1"/>
        <v>3.4234234234234232E-2</v>
      </c>
      <c r="J57" s="6">
        <f t="shared" si="2"/>
        <v>34234.234234234231</v>
      </c>
      <c r="K57" s="7">
        <v>0.67</v>
      </c>
      <c r="L57" s="3">
        <v>418</v>
      </c>
      <c r="M57" s="3">
        <v>450</v>
      </c>
      <c r="N57" s="3">
        <v>32</v>
      </c>
      <c r="O57" s="5">
        <f t="shared" si="3"/>
        <v>0.92888888888888888</v>
      </c>
      <c r="P57" s="5">
        <f t="shared" si="4"/>
        <v>0.88959330143540671</v>
      </c>
      <c r="Q57" s="5">
        <f t="shared" si="5"/>
        <v>0.96576576576576578</v>
      </c>
      <c r="R57" s="5">
        <f t="shared" si="6"/>
        <v>0.79804444444444445</v>
      </c>
    </row>
    <row r="58" spans="1:18" x14ac:dyDescent="0.25">
      <c r="A58" s="3">
        <v>54</v>
      </c>
      <c r="B58" s="4">
        <v>46238</v>
      </c>
      <c r="C58" s="3" t="s">
        <v>28</v>
      </c>
      <c r="D58" s="3" t="s">
        <v>23</v>
      </c>
      <c r="E58" s="3" t="s">
        <v>34</v>
      </c>
      <c r="F58" s="3">
        <v>523</v>
      </c>
      <c r="G58" s="3">
        <v>505</v>
      </c>
      <c r="H58" s="3">
        <v>18</v>
      </c>
      <c r="I58" s="5">
        <f t="shared" si="1"/>
        <v>3.4416826003824091E-2</v>
      </c>
      <c r="J58" s="6">
        <f t="shared" si="2"/>
        <v>34416.826003824091</v>
      </c>
      <c r="K58" s="7">
        <v>0.69</v>
      </c>
      <c r="L58" s="3">
        <v>394</v>
      </c>
      <c r="M58" s="3">
        <v>450</v>
      </c>
      <c r="N58" s="3">
        <v>56</v>
      </c>
      <c r="O58" s="5">
        <f t="shared" si="3"/>
        <v>0.87555555555555553</v>
      </c>
      <c r="P58" s="5">
        <f t="shared" si="4"/>
        <v>0.91591370558375618</v>
      </c>
      <c r="Q58" s="5">
        <f t="shared" si="5"/>
        <v>0.96558317399617588</v>
      </c>
      <c r="R58" s="5">
        <f t="shared" si="6"/>
        <v>0.7743333333333331</v>
      </c>
    </row>
    <row r="59" spans="1:18" x14ac:dyDescent="0.25">
      <c r="A59" s="3">
        <v>55</v>
      </c>
      <c r="B59" s="4">
        <v>46238</v>
      </c>
      <c r="C59" s="3" t="s">
        <v>30</v>
      </c>
      <c r="D59" s="3" t="s">
        <v>19</v>
      </c>
      <c r="E59" s="3" t="s">
        <v>32</v>
      </c>
      <c r="F59" s="3">
        <v>343</v>
      </c>
      <c r="G59" s="3">
        <v>333</v>
      </c>
      <c r="H59" s="3">
        <v>10</v>
      </c>
      <c r="I59" s="5">
        <f t="shared" si="1"/>
        <v>2.9154518950437316E-2</v>
      </c>
      <c r="J59" s="6">
        <f t="shared" si="2"/>
        <v>29154.518950437316</v>
      </c>
      <c r="K59" s="7">
        <v>1.04</v>
      </c>
      <c r="L59" s="3">
        <v>395</v>
      </c>
      <c r="M59" s="3">
        <v>450</v>
      </c>
      <c r="N59" s="3">
        <v>55</v>
      </c>
      <c r="O59" s="5">
        <f t="shared" si="3"/>
        <v>0.87777777777777777</v>
      </c>
      <c r="P59" s="5">
        <f t="shared" si="4"/>
        <v>0.90308860759493681</v>
      </c>
      <c r="Q59" s="5">
        <f t="shared" si="5"/>
        <v>0.9708454810495627</v>
      </c>
      <c r="R59" s="5">
        <f t="shared" si="6"/>
        <v>0.76960000000000006</v>
      </c>
    </row>
    <row r="60" spans="1:18" x14ac:dyDescent="0.25">
      <c r="A60" s="3">
        <v>56</v>
      </c>
      <c r="B60" s="4">
        <v>46238</v>
      </c>
      <c r="C60" s="3" t="s">
        <v>30</v>
      </c>
      <c r="D60" s="3" t="s">
        <v>21</v>
      </c>
      <c r="E60" s="3" t="s">
        <v>31</v>
      </c>
      <c r="F60" s="3">
        <v>208</v>
      </c>
      <c r="G60" s="3">
        <v>202</v>
      </c>
      <c r="H60" s="3">
        <v>6</v>
      </c>
      <c r="I60" s="5">
        <f t="shared" si="1"/>
        <v>2.8846153846153848E-2</v>
      </c>
      <c r="J60" s="6">
        <f t="shared" si="2"/>
        <v>28846.153846153848</v>
      </c>
      <c r="K60" s="7">
        <v>1.7</v>
      </c>
      <c r="L60" s="3">
        <v>389</v>
      </c>
      <c r="M60" s="3">
        <v>450</v>
      </c>
      <c r="N60" s="3">
        <v>61</v>
      </c>
      <c r="O60" s="5">
        <f t="shared" si="3"/>
        <v>0.86444444444444446</v>
      </c>
      <c r="P60" s="5">
        <f t="shared" si="4"/>
        <v>0.90899742930591254</v>
      </c>
      <c r="Q60" s="5">
        <f t="shared" si="5"/>
        <v>0.97115384615384615</v>
      </c>
      <c r="R60" s="5">
        <f t="shared" si="6"/>
        <v>0.76311111111111107</v>
      </c>
    </row>
    <row r="61" spans="1:18" x14ac:dyDescent="0.25">
      <c r="A61" s="3">
        <v>57</v>
      </c>
      <c r="B61" s="4">
        <v>46238</v>
      </c>
      <c r="C61" s="3" t="s">
        <v>30</v>
      </c>
      <c r="D61" s="3" t="s">
        <v>23</v>
      </c>
      <c r="E61" s="3" t="s">
        <v>26</v>
      </c>
      <c r="F61" s="3">
        <v>233</v>
      </c>
      <c r="G61" s="3">
        <v>227</v>
      </c>
      <c r="H61" s="3">
        <v>6</v>
      </c>
      <c r="I61" s="5">
        <f t="shared" si="1"/>
        <v>2.575107296137339E-2</v>
      </c>
      <c r="J61" s="6">
        <f t="shared" si="2"/>
        <v>25751.072961373389</v>
      </c>
      <c r="K61" s="7">
        <v>1.42</v>
      </c>
      <c r="L61" s="3">
        <v>415</v>
      </c>
      <c r="M61" s="3">
        <v>450</v>
      </c>
      <c r="N61" s="3">
        <v>35</v>
      </c>
      <c r="O61" s="5">
        <f t="shared" si="3"/>
        <v>0.92222222222222228</v>
      </c>
      <c r="P61" s="5">
        <f t="shared" si="4"/>
        <v>0.79725301204819266</v>
      </c>
      <c r="Q61" s="5">
        <f t="shared" si="5"/>
        <v>0.97424892703862664</v>
      </c>
      <c r="R61" s="5">
        <f t="shared" si="6"/>
        <v>0.71631111111111101</v>
      </c>
    </row>
    <row r="62" spans="1:18" x14ac:dyDescent="0.25">
      <c r="A62" s="3">
        <v>58</v>
      </c>
      <c r="B62" s="4">
        <v>46238</v>
      </c>
      <c r="C62" s="3" t="s">
        <v>33</v>
      </c>
      <c r="D62" s="3" t="s">
        <v>19</v>
      </c>
      <c r="E62" s="3" t="s">
        <v>32</v>
      </c>
      <c r="F62" s="3">
        <v>356</v>
      </c>
      <c r="G62" s="3">
        <v>348</v>
      </c>
      <c r="H62" s="3">
        <v>8</v>
      </c>
      <c r="I62" s="5">
        <f t="shared" si="1"/>
        <v>2.247191011235955E-2</v>
      </c>
      <c r="J62" s="6">
        <f t="shared" si="2"/>
        <v>22471.91011235955</v>
      </c>
      <c r="K62" s="7">
        <v>1.05</v>
      </c>
      <c r="L62" s="3">
        <v>414</v>
      </c>
      <c r="M62" s="3">
        <v>450</v>
      </c>
      <c r="N62" s="3">
        <v>36</v>
      </c>
      <c r="O62" s="5">
        <f t="shared" si="3"/>
        <v>0.92</v>
      </c>
      <c r="P62" s="5">
        <f t="shared" si="4"/>
        <v>0.90289855072463776</v>
      </c>
      <c r="Q62" s="5">
        <f t="shared" si="5"/>
        <v>0.97752808988764039</v>
      </c>
      <c r="R62" s="5">
        <f t="shared" si="6"/>
        <v>0.81200000000000006</v>
      </c>
    </row>
    <row r="63" spans="1:18" x14ac:dyDescent="0.25">
      <c r="A63" s="3">
        <v>59</v>
      </c>
      <c r="B63" s="4">
        <v>46238</v>
      </c>
      <c r="C63" s="3" t="s">
        <v>33</v>
      </c>
      <c r="D63" s="3" t="s">
        <v>21</v>
      </c>
      <c r="E63" s="3" t="s">
        <v>34</v>
      </c>
      <c r="F63" s="3">
        <v>198</v>
      </c>
      <c r="G63" s="3">
        <v>196</v>
      </c>
      <c r="H63" s="3">
        <v>2</v>
      </c>
      <c r="I63" s="5">
        <f t="shared" si="1"/>
        <v>1.0101010101010102E-2</v>
      </c>
      <c r="J63" s="6">
        <f t="shared" si="2"/>
        <v>10101.010101010103</v>
      </c>
      <c r="K63" s="7">
        <v>1.75</v>
      </c>
      <c r="L63" s="3">
        <v>389</v>
      </c>
      <c r="M63" s="3">
        <v>450</v>
      </c>
      <c r="N63" s="3">
        <v>61</v>
      </c>
      <c r="O63" s="5">
        <f t="shared" si="3"/>
        <v>0.86444444444444446</v>
      </c>
      <c r="P63" s="5">
        <f t="shared" si="4"/>
        <v>0.89074550128534702</v>
      </c>
      <c r="Q63" s="5">
        <f t="shared" si="5"/>
        <v>0.98989898989898994</v>
      </c>
      <c r="R63" s="5">
        <f t="shared" si="6"/>
        <v>0.76222222222222225</v>
      </c>
    </row>
    <row r="64" spans="1:18" x14ac:dyDescent="0.25">
      <c r="A64" s="3">
        <v>60</v>
      </c>
      <c r="B64" s="4">
        <v>46238</v>
      </c>
      <c r="C64" s="3" t="s">
        <v>33</v>
      </c>
      <c r="D64" s="3" t="s">
        <v>23</v>
      </c>
      <c r="E64" s="3" t="s">
        <v>32</v>
      </c>
      <c r="F64" s="3">
        <v>516</v>
      </c>
      <c r="G64" s="3">
        <v>505</v>
      </c>
      <c r="H64" s="3">
        <v>11</v>
      </c>
      <c r="I64" s="5">
        <f t="shared" si="1"/>
        <v>2.1317829457364341E-2</v>
      </c>
      <c r="J64" s="6">
        <f t="shared" si="2"/>
        <v>21317.82945736434</v>
      </c>
      <c r="K64" s="7">
        <v>0.66</v>
      </c>
      <c r="L64" s="3">
        <v>437</v>
      </c>
      <c r="M64" s="3">
        <v>450</v>
      </c>
      <c r="N64" s="3">
        <v>13</v>
      </c>
      <c r="O64" s="5">
        <f t="shared" si="3"/>
        <v>0.97111111111111115</v>
      </c>
      <c r="P64" s="5">
        <f t="shared" si="4"/>
        <v>0.77931350114416476</v>
      </c>
      <c r="Q64" s="5">
        <f t="shared" si="5"/>
        <v>0.97868217054263562</v>
      </c>
      <c r="R64" s="5">
        <f t="shared" si="6"/>
        <v>0.7406666666666667</v>
      </c>
    </row>
    <row r="65" spans="1:18" x14ac:dyDescent="0.25">
      <c r="A65" s="3">
        <v>61</v>
      </c>
      <c r="B65" s="4">
        <v>46239</v>
      </c>
      <c r="C65" s="3" t="s">
        <v>18</v>
      </c>
      <c r="D65" s="3" t="s">
        <v>19</v>
      </c>
      <c r="E65" s="3" t="s">
        <v>26</v>
      </c>
      <c r="F65" s="3">
        <v>288</v>
      </c>
      <c r="G65" s="3">
        <v>287</v>
      </c>
      <c r="H65" s="3">
        <v>1</v>
      </c>
      <c r="I65" s="5">
        <f t="shared" si="1"/>
        <v>3.472222222222222E-3</v>
      </c>
      <c r="J65" s="6">
        <f t="shared" si="2"/>
        <v>3472.2222222222222</v>
      </c>
      <c r="K65" s="7">
        <v>1.47</v>
      </c>
      <c r="L65" s="3">
        <v>440</v>
      </c>
      <c r="M65" s="3">
        <v>450</v>
      </c>
      <c r="N65" s="3">
        <v>10</v>
      </c>
      <c r="O65" s="5">
        <f t="shared" si="3"/>
        <v>0.97777777777777775</v>
      </c>
      <c r="P65" s="5">
        <f t="shared" si="4"/>
        <v>0.96218181818181825</v>
      </c>
      <c r="Q65" s="5">
        <f t="shared" si="5"/>
        <v>0.99652777777777779</v>
      </c>
      <c r="R65" s="5">
        <f t="shared" si="6"/>
        <v>0.93753333333333344</v>
      </c>
    </row>
    <row r="66" spans="1:18" x14ac:dyDescent="0.25">
      <c r="A66" s="3">
        <v>62</v>
      </c>
      <c r="B66" s="4">
        <v>46239</v>
      </c>
      <c r="C66" s="3" t="s">
        <v>18</v>
      </c>
      <c r="D66" s="3" t="s">
        <v>21</v>
      </c>
      <c r="E66" s="3" t="s">
        <v>27</v>
      </c>
      <c r="F66" s="3">
        <v>332</v>
      </c>
      <c r="G66" s="3">
        <v>329</v>
      </c>
      <c r="H66" s="3">
        <v>3</v>
      </c>
      <c r="I66" s="5">
        <f t="shared" si="1"/>
        <v>9.0361445783132526E-3</v>
      </c>
      <c r="J66" s="6">
        <f t="shared" si="2"/>
        <v>9036.1445783132531</v>
      </c>
      <c r="K66" s="7">
        <v>1.18</v>
      </c>
      <c r="L66" s="3">
        <v>386</v>
      </c>
      <c r="M66" s="3">
        <v>450</v>
      </c>
      <c r="N66" s="3">
        <v>64</v>
      </c>
      <c r="O66" s="5">
        <f t="shared" si="3"/>
        <v>0.85777777777777775</v>
      </c>
      <c r="P66" s="5">
        <f t="shared" si="4"/>
        <v>1.0149222797927462</v>
      </c>
      <c r="Q66" s="5">
        <f t="shared" si="5"/>
        <v>0.99096385542168675</v>
      </c>
      <c r="R66" s="5">
        <f t="shared" si="6"/>
        <v>0.8627111111111111</v>
      </c>
    </row>
    <row r="67" spans="1:18" x14ac:dyDescent="0.25">
      <c r="A67" s="3">
        <v>63</v>
      </c>
      <c r="B67" s="4">
        <v>46239</v>
      </c>
      <c r="C67" s="3" t="s">
        <v>18</v>
      </c>
      <c r="D67" s="3" t="s">
        <v>23</v>
      </c>
      <c r="E67" s="3" t="s">
        <v>22</v>
      </c>
      <c r="F67" s="3">
        <v>298</v>
      </c>
      <c r="G67" s="3">
        <v>289</v>
      </c>
      <c r="H67" s="3">
        <v>9</v>
      </c>
      <c r="I67" s="5">
        <f t="shared" si="1"/>
        <v>3.0201342281879196E-2</v>
      </c>
      <c r="J67" s="6">
        <f t="shared" si="2"/>
        <v>30201.342281879195</v>
      </c>
      <c r="K67" s="7">
        <v>1.26</v>
      </c>
      <c r="L67" s="3">
        <v>436</v>
      </c>
      <c r="M67" s="3">
        <v>450</v>
      </c>
      <c r="N67" s="3">
        <v>14</v>
      </c>
      <c r="O67" s="5">
        <f t="shared" si="3"/>
        <v>0.96888888888888891</v>
      </c>
      <c r="P67" s="5">
        <f t="shared" si="4"/>
        <v>0.86119266055045873</v>
      </c>
      <c r="Q67" s="5">
        <f t="shared" si="5"/>
        <v>0.96979865771812079</v>
      </c>
      <c r="R67" s="5">
        <f t="shared" si="6"/>
        <v>0.80920000000000003</v>
      </c>
    </row>
    <row r="68" spans="1:18" x14ac:dyDescent="0.25">
      <c r="A68" s="3">
        <v>64</v>
      </c>
      <c r="B68" s="4">
        <v>46239</v>
      </c>
      <c r="C68" s="3" t="s">
        <v>25</v>
      </c>
      <c r="D68" s="3" t="s">
        <v>19</v>
      </c>
      <c r="E68" s="3" t="s">
        <v>20</v>
      </c>
      <c r="F68" s="3">
        <v>377</v>
      </c>
      <c r="G68" s="3">
        <v>362</v>
      </c>
      <c r="H68" s="3">
        <v>15</v>
      </c>
      <c r="I68" s="5">
        <f t="shared" si="1"/>
        <v>3.9787798408488062E-2</v>
      </c>
      <c r="J68" s="6">
        <f t="shared" si="2"/>
        <v>39787.798408488059</v>
      </c>
      <c r="K68" s="7">
        <v>0.95</v>
      </c>
      <c r="L68" s="3">
        <v>428</v>
      </c>
      <c r="M68" s="3">
        <v>450</v>
      </c>
      <c r="N68" s="3">
        <v>22</v>
      </c>
      <c r="O68" s="5">
        <f t="shared" si="3"/>
        <v>0.95111111111111113</v>
      </c>
      <c r="P68" s="5">
        <f t="shared" si="4"/>
        <v>0.83679906542056071</v>
      </c>
      <c r="Q68" s="5">
        <f t="shared" si="5"/>
        <v>0.96021220159151188</v>
      </c>
      <c r="R68" s="5">
        <f t="shared" si="6"/>
        <v>0.76422222222222214</v>
      </c>
    </row>
    <row r="69" spans="1:18" x14ac:dyDescent="0.25">
      <c r="A69" s="3">
        <v>65</v>
      </c>
      <c r="B69" s="4">
        <v>46239</v>
      </c>
      <c r="C69" s="3" t="s">
        <v>25</v>
      </c>
      <c r="D69" s="3" t="s">
        <v>21</v>
      </c>
      <c r="E69" s="3" t="s">
        <v>32</v>
      </c>
      <c r="F69" s="3">
        <v>358</v>
      </c>
      <c r="G69" s="3">
        <v>344</v>
      </c>
      <c r="H69" s="3">
        <v>14</v>
      </c>
      <c r="I69" s="5">
        <f t="shared" ref="I69:I132" si="7">IFERROR(H69/F69,0)</f>
        <v>3.9106145251396648E-2</v>
      </c>
      <c r="J69" s="6">
        <f t="shared" ref="J69:J132" si="8">I69*1000000</f>
        <v>39106.145251396651</v>
      </c>
      <c r="K69" s="7">
        <v>1.08</v>
      </c>
      <c r="L69" s="3">
        <v>399</v>
      </c>
      <c r="M69" s="3">
        <v>450</v>
      </c>
      <c r="N69" s="3">
        <v>51</v>
      </c>
      <c r="O69" s="5">
        <f t="shared" ref="O69:O132" si="9">IFERROR(L69/M69,0)</f>
        <v>0.88666666666666671</v>
      </c>
      <c r="P69" s="5">
        <f t="shared" ref="P69:P132" si="10">IFERROR(F69*K69/L69,0)</f>
        <v>0.96902255639097756</v>
      </c>
      <c r="Q69" s="5">
        <f t="shared" ref="Q69:Q132" si="11">IFERROR(G69/F69,0)</f>
        <v>0.96089385474860334</v>
      </c>
      <c r="R69" s="5">
        <f t="shared" ref="R69:R132" si="12">O69*P69*Q69</f>
        <v>0.82560000000000011</v>
      </c>
    </row>
    <row r="70" spans="1:18" x14ac:dyDescent="0.25">
      <c r="A70" s="3">
        <v>66</v>
      </c>
      <c r="B70" s="4">
        <v>46239</v>
      </c>
      <c r="C70" s="3" t="s">
        <v>25</v>
      </c>
      <c r="D70" s="3" t="s">
        <v>23</v>
      </c>
      <c r="E70" s="3" t="s">
        <v>26</v>
      </c>
      <c r="F70" s="3">
        <v>187</v>
      </c>
      <c r="G70" s="3">
        <v>184</v>
      </c>
      <c r="H70" s="3">
        <v>3</v>
      </c>
      <c r="I70" s="5">
        <f t="shared" si="7"/>
        <v>1.6042780748663103E-2</v>
      </c>
      <c r="J70" s="6">
        <f t="shared" si="8"/>
        <v>16042.780748663103</v>
      </c>
      <c r="K70" s="7">
        <v>1.8</v>
      </c>
      <c r="L70" s="3">
        <v>396</v>
      </c>
      <c r="M70" s="3">
        <v>450</v>
      </c>
      <c r="N70" s="3">
        <v>54</v>
      </c>
      <c r="O70" s="5">
        <f t="shared" si="9"/>
        <v>0.88</v>
      </c>
      <c r="P70" s="5">
        <f t="shared" si="10"/>
        <v>0.85000000000000009</v>
      </c>
      <c r="Q70" s="5">
        <f t="shared" si="11"/>
        <v>0.98395721925133695</v>
      </c>
      <c r="R70" s="5">
        <f t="shared" si="12"/>
        <v>0.7360000000000001</v>
      </c>
    </row>
    <row r="71" spans="1:18" x14ac:dyDescent="0.25">
      <c r="A71" s="3">
        <v>67</v>
      </c>
      <c r="B71" s="4">
        <v>46239</v>
      </c>
      <c r="C71" s="3" t="s">
        <v>28</v>
      </c>
      <c r="D71" s="3" t="s">
        <v>19</v>
      </c>
      <c r="E71" s="3" t="s">
        <v>27</v>
      </c>
      <c r="F71" s="3">
        <v>547</v>
      </c>
      <c r="G71" s="3">
        <v>523</v>
      </c>
      <c r="H71" s="3">
        <v>24</v>
      </c>
      <c r="I71" s="5">
        <f t="shared" si="7"/>
        <v>4.3875685557586835E-2</v>
      </c>
      <c r="J71" s="6">
        <f t="shared" si="8"/>
        <v>43875.685557586832</v>
      </c>
      <c r="K71" s="7">
        <v>0.73</v>
      </c>
      <c r="L71" s="3">
        <v>432</v>
      </c>
      <c r="M71" s="3">
        <v>450</v>
      </c>
      <c r="N71" s="3">
        <v>18</v>
      </c>
      <c r="O71" s="5">
        <f t="shared" si="9"/>
        <v>0.96</v>
      </c>
      <c r="P71" s="5">
        <f t="shared" si="10"/>
        <v>0.92432870370370368</v>
      </c>
      <c r="Q71" s="5">
        <f t="shared" si="11"/>
        <v>0.95612431444241319</v>
      </c>
      <c r="R71" s="5">
        <f t="shared" si="12"/>
        <v>0.84842222222222219</v>
      </c>
    </row>
    <row r="72" spans="1:18" x14ac:dyDescent="0.25">
      <c r="A72" s="3">
        <v>68</v>
      </c>
      <c r="B72" s="4">
        <v>46239</v>
      </c>
      <c r="C72" s="3" t="s">
        <v>28</v>
      </c>
      <c r="D72" s="3" t="s">
        <v>21</v>
      </c>
      <c r="E72" s="3" t="s">
        <v>29</v>
      </c>
      <c r="F72" s="3">
        <v>230</v>
      </c>
      <c r="G72" s="3">
        <v>221</v>
      </c>
      <c r="H72" s="3">
        <v>9</v>
      </c>
      <c r="I72" s="5">
        <f t="shared" si="7"/>
        <v>3.9130434782608699E-2</v>
      </c>
      <c r="J72" s="6">
        <f t="shared" si="8"/>
        <v>39130.434782608696</v>
      </c>
      <c r="K72" s="7">
        <v>1.79</v>
      </c>
      <c r="L72" s="3">
        <v>439</v>
      </c>
      <c r="M72" s="3">
        <v>450</v>
      </c>
      <c r="N72" s="3">
        <v>11</v>
      </c>
      <c r="O72" s="5">
        <f t="shared" si="9"/>
        <v>0.97555555555555551</v>
      </c>
      <c r="P72" s="5">
        <f t="shared" si="10"/>
        <v>0.93781321184510247</v>
      </c>
      <c r="Q72" s="5">
        <f t="shared" si="11"/>
        <v>0.96086956521739131</v>
      </c>
      <c r="R72" s="5">
        <f t="shared" si="12"/>
        <v>0.87908888888888892</v>
      </c>
    </row>
    <row r="73" spans="1:18" x14ac:dyDescent="0.25">
      <c r="A73" s="3">
        <v>69</v>
      </c>
      <c r="B73" s="4">
        <v>46239</v>
      </c>
      <c r="C73" s="3" t="s">
        <v>28</v>
      </c>
      <c r="D73" s="3" t="s">
        <v>23</v>
      </c>
      <c r="E73" s="3" t="s">
        <v>34</v>
      </c>
      <c r="F73" s="3">
        <v>201</v>
      </c>
      <c r="G73" s="3">
        <v>196</v>
      </c>
      <c r="H73" s="3">
        <v>5</v>
      </c>
      <c r="I73" s="5">
        <f t="shared" si="7"/>
        <v>2.4875621890547265E-2</v>
      </c>
      <c r="J73" s="6">
        <f t="shared" si="8"/>
        <v>24875.621890547263</v>
      </c>
      <c r="K73" s="7">
        <v>1.7</v>
      </c>
      <c r="L73" s="3">
        <v>413</v>
      </c>
      <c r="M73" s="3">
        <v>450</v>
      </c>
      <c r="N73" s="3">
        <v>37</v>
      </c>
      <c r="O73" s="5">
        <f t="shared" si="9"/>
        <v>0.9177777777777778</v>
      </c>
      <c r="P73" s="5">
        <f t="shared" si="10"/>
        <v>0.82736077481840187</v>
      </c>
      <c r="Q73" s="5">
        <f t="shared" si="11"/>
        <v>0.97512437810945274</v>
      </c>
      <c r="R73" s="5">
        <f t="shared" si="12"/>
        <v>0.74044444444444446</v>
      </c>
    </row>
    <row r="74" spans="1:18" x14ac:dyDescent="0.25">
      <c r="A74" s="3">
        <v>70</v>
      </c>
      <c r="B74" s="4">
        <v>46239</v>
      </c>
      <c r="C74" s="3" t="s">
        <v>30</v>
      </c>
      <c r="D74" s="3" t="s">
        <v>19</v>
      </c>
      <c r="E74" s="3" t="s">
        <v>22</v>
      </c>
      <c r="F74" s="3">
        <v>246</v>
      </c>
      <c r="G74" s="3">
        <v>235</v>
      </c>
      <c r="H74" s="3">
        <v>11</v>
      </c>
      <c r="I74" s="5">
        <f t="shared" si="7"/>
        <v>4.4715447154471545E-2</v>
      </c>
      <c r="J74" s="6">
        <f t="shared" si="8"/>
        <v>44715.447154471542</v>
      </c>
      <c r="K74" s="7">
        <v>1.56</v>
      </c>
      <c r="L74" s="3">
        <v>432</v>
      </c>
      <c r="M74" s="3">
        <v>450</v>
      </c>
      <c r="N74" s="3">
        <v>18</v>
      </c>
      <c r="O74" s="5">
        <f t="shared" si="9"/>
        <v>0.96</v>
      </c>
      <c r="P74" s="5">
        <f t="shared" si="10"/>
        <v>0.88833333333333331</v>
      </c>
      <c r="Q74" s="5">
        <f t="shared" si="11"/>
        <v>0.95528455284552849</v>
      </c>
      <c r="R74" s="5">
        <f t="shared" si="12"/>
        <v>0.81466666666666654</v>
      </c>
    </row>
    <row r="75" spans="1:18" x14ac:dyDescent="0.25">
      <c r="A75" s="3">
        <v>71</v>
      </c>
      <c r="B75" s="4">
        <v>46239</v>
      </c>
      <c r="C75" s="3" t="s">
        <v>30</v>
      </c>
      <c r="D75" s="3" t="s">
        <v>21</v>
      </c>
      <c r="E75" s="3" t="s">
        <v>29</v>
      </c>
      <c r="F75" s="3">
        <v>241</v>
      </c>
      <c r="G75" s="3">
        <v>232</v>
      </c>
      <c r="H75" s="3">
        <v>9</v>
      </c>
      <c r="I75" s="5">
        <f t="shared" si="7"/>
        <v>3.7344398340248962E-2</v>
      </c>
      <c r="J75" s="6">
        <f t="shared" si="8"/>
        <v>37344.398340248961</v>
      </c>
      <c r="K75" s="7">
        <v>1.78</v>
      </c>
      <c r="L75" s="3">
        <v>427</v>
      </c>
      <c r="M75" s="3">
        <v>450</v>
      </c>
      <c r="N75" s="3">
        <v>23</v>
      </c>
      <c r="O75" s="5">
        <f t="shared" si="9"/>
        <v>0.94888888888888889</v>
      </c>
      <c r="P75" s="5">
        <f t="shared" si="10"/>
        <v>1.0046370023419204</v>
      </c>
      <c r="Q75" s="5">
        <f t="shared" si="11"/>
        <v>0.96265560165975106</v>
      </c>
      <c r="R75" s="5">
        <f t="shared" si="12"/>
        <v>0.917688888888889</v>
      </c>
    </row>
    <row r="76" spans="1:18" x14ac:dyDescent="0.25">
      <c r="A76" s="3">
        <v>72</v>
      </c>
      <c r="B76" s="4">
        <v>46239</v>
      </c>
      <c r="C76" s="3" t="s">
        <v>30</v>
      </c>
      <c r="D76" s="3" t="s">
        <v>23</v>
      </c>
      <c r="E76" s="3" t="s">
        <v>26</v>
      </c>
      <c r="F76" s="3">
        <v>548</v>
      </c>
      <c r="G76" s="3">
        <v>533</v>
      </c>
      <c r="H76" s="3">
        <v>15</v>
      </c>
      <c r="I76" s="5">
        <f t="shared" si="7"/>
        <v>2.7372262773722629E-2</v>
      </c>
      <c r="J76" s="6">
        <f t="shared" si="8"/>
        <v>27372.262773722628</v>
      </c>
      <c r="K76" s="7">
        <v>0.74</v>
      </c>
      <c r="L76" s="3">
        <v>443</v>
      </c>
      <c r="M76" s="3">
        <v>450</v>
      </c>
      <c r="N76" s="3">
        <v>7</v>
      </c>
      <c r="O76" s="5">
        <f t="shared" si="9"/>
        <v>0.98444444444444446</v>
      </c>
      <c r="P76" s="5">
        <f t="shared" si="10"/>
        <v>0.91539503386004506</v>
      </c>
      <c r="Q76" s="5">
        <f t="shared" si="11"/>
        <v>0.97262773722627738</v>
      </c>
      <c r="R76" s="5">
        <f t="shared" si="12"/>
        <v>0.87648888888888887</v>
      </c>
    </row>
    <row r="77" spans="1:18" x14ac:dyDescent="0.25">
      <c r="A77" s="3">
        <v>73</v>
      </c>
      <c r="B77" s="4">
        <v>46239</v>
      </c>
      <c r="C77" s="3" t="s">
        <v>33</v>
      </c>
      <c r="D77" s="3" t="s">
        <v>19</v>
      </c>
      <c r="E77" s="3" t="s">
        <v>20</v>
      </c>
      <c r="F77" s="3">
        <v>370</v>
      </c>
      <c r="G77" s="3">
        <v>363</v>
      </c>
      <c r="H77" s="3">
        <v>7</v>
      </c>
      <c r="I77" s="5">
        <f t="shared" si="7"/>
        <v>1.891891891891892E-2</v>
      </c>
      <c r="J77" s="6">
        <f t="shared" si="8"/>
        <v>18918.91891891892</v>
      </c>
      <c r="K77" s="7">
        <v>1.08</v>
      </c>
      <c r="L77" s="3">
        <v>426</v>
      </c>
      <c r="M77" s="3">
        <v>450</v>
      </c>
      <c r="N77" s="3">
        <v>24</v>
      </c>
      <c r="O77" s="5">
        <f t="shared" si="9"/>
        <v>0.94666666666666666</v>
      </c>
      <c r="P77" s="5">
        <f t="shared" si="10"/>
        <v>0.93802816901408459</v>
      </c>
      <c r="Q77" s="5">
        <f t="shared" si="11"/>
        <v>0.98108108108108105</v>
      </c>
      <c r="R77" s="5">
        <f t="shared" si="12"/>
        <v>0.87120000000000009</v>
      </c>
    </row>
    <row r="78" spans="1:18" x14ac:dyDescent="0.25">
      <c r="A78" s="3">
        <v>74</v>
      </c>
      <c r="B78" s="4">
        <v>46239</v>
      </c>
      <c r="C78" s="3" t="s">
        <v>33</v>
      </c>
      <c r="D78" s="3" t="s">
        <v>21</v>
      </c>
      <c r="E78" s="3" t="s">
        <v>34</v>
      </c>
      <c r="F78" s="3">
        <v>237</v>
      </c>
      <c r="G78" s="3">
        <v>235</v>
      </c>
      <c r="H78" s="3">
        <v>2</v>
      </c>
      <c r="I78" s="5">
        <f t="shared" si="7"/>
        <v>8.4388185654008432E-3</v>
      </c>
      <c r="J78" s="6">
        <f t="shared" si="8"/>
        <v>8438.818565400843</v>
      </c>
      <c r="K78" s="7">
        <v>1.44</v>
      </c>
      <c r="L78" s="3">
        <v>396</v>
      </c>
      <c r="M78" s="3">
        <v>450</v>
      </c>
      <c r="N78" s="3">
        <v>54</v>
      </c>
      <c r="O78" s="5">
        <f t="shared" si="9"/>
        <v>0.88</v>
      </c>
      <c r="P78" s="5">
        <f t="shared" si="10"/>
        <v>0.86181818181818171</v>
      </c>
      <c r="Q78" s="5">
        <f t="shared" si="11"/>
        <v>0.99156118143459915</v>
      </c>
      <c r="R78" s="5">
        <f t="shared" si="12"/>
        <v>0.75199999999999989</v>
      </c>
    </row>
    <row r="79" spans="1:18" x14ac:dyDescent="0.25">
      <c r="A79" s="3">
        <v>75</v>
      </c>
      <c r="B79" s="4">
        <v>46239</v>
      </c>
      <c r="C79" s="3" t="s">
        <v>33</v>
      </c>
      <c r="D79" s="3" t="s">
        <v>23</v>
      </c>
      <c r="E79" s="3" t="s">
        <v>27</v>
      </c>
      <c r="F79" s="3">
        <v>680</v>
      </c>
      <c r="G79" s="3">
        <v>665</v>
      </c>
      <c r="H79" s="3">
        <v>15</v>
      </c>
      <c r="I79" s="5">
        <f t="shared" si="7"/>
        <v>2.2058823529411766E-2</v>
      </c>
      <c r="J79" s="6">
        <f t="shared" si="8"/>
        <v>22058.823529411766</v>
      </c>
      <c r="K79" s="7">
        <v>0.62</v>
      </c>
      <c r="L79" s="3">
        <v>425</v>
      </c>
      <c r="M79" s="3">
        <v>450</v>
      </c>
      <c r="N79" s="3">
        <v>25</v>
      </c>
      <c r="O79" s="5">
        <f t="shared" si="9"/>
        <v>0.94444444444444442</v>
      </c>
      <c r="P79" s="5">
        <f t="shared" si="10"/>
        <v>0.9920000000000001</v>
      </c>
      <c r="Q79" s="5">
        <f t="shared" si="11"/>
        <v>0.9779411764705882</v>
      </c>
      <c r="R79" s="5">
        <f t="shared" si="12"/>
        <v>0.91622222222222227</v>
      </c>
    </row>
    <row r="80" spans="1:18" x14ac:dyDescent="0.25">
      <c r="A80" s="3">
        <v>76</v>
      </c>
      <c r="B80" s="4">
        <v>46240</v>
      </c>
      <c r="C80" s="3" t="s">
        <v>18</v>
      </c>
      <c r="D80" s="3" t="s">
        <v>19</v>
      </c>
      <c r="E80" s="3" t="s">
        <v>34</v>
      </c>
      <c r="F80" s="3">
        <v>592</v>
      </c>
      <c r="G80" s="3">
        <v>590</v>
      </c>
      <c r="H80" s="3">
        <v>2</v>
      </c>
      <c r="I80" s="5">
        <f t="shared" si="7"/>
        <v>3.3783783783783786E-3</v>
      </c>
      <c r="J80" s="6">
        <f t="shared" si="8"/>
        <v>3378.3783783783788</v>
      </c>
      <c r="K80" s="7">
        <v>0.68</v>
      </c>
      <c r="L80" s="3">
        <v>439</v>
      </c>
      <c r="M80" s="3">
        <v>450</v>
      </c>
      <c r="N80" s="3">
        <v>11</v>
      </c>
      <c r="O80" s="5">
        <f t="shared" si="9"/>
        <v>0.97555555555555551</v>
      </c>
      <c r="P80" s="5">
        <f t="shared" si="10"/>
        <v>0.91699316628701599</v>
      </c>
      <c r="Q80" s="5">
        <f t="shared" si="11"/>
        <v>0.9966216216216216</v>
      </c>
      <c r="R80" s="5">
        <f t="shared" si="12"/>
        <v>0.89155555555555555</v>
      </c>
    </row>
    <row r="81" spans="1:18" x14ac:dyDescent="0.25">
      <c r="A81" s="3">
        <v>77</v>
      </c>
      <c r="B81" s="4">
        <v>46240</v>
      </c>
      <c r="C81" s="3" t="s">
        <v>18</v>
      </c>
      <c r="D81" s="3" t="s">
        <v>21</v>
      </c>
      <c r="E81" s="3" t="s">
        <v>29</v>
      </c>
      <c r="F81" s="3">
        <v>406</v>
      </c>
      <c r="G81" s="3">
        <v>394</v>
      </c>
      <c r="H81" s="3">
        <v>12</v>
      </c>
      <c r="I81" s="5">
        <f t="shared" si="7"/>
        <v>2.9556650246305417E-2</v>
      </c>
      <c r="J81" s="6">
        <f t="shared" si="8"/>
        <v>29556.650246305417</v>
      </c>
      <c r="K81" s="7">
        <v>0.81</v>
      </c>
      <c r="L81" s="3">
        <v>399</v>
      </c>
      <c r="M81" s="3">
        <v>450</v>
      </c>
      <c r="N81" s="3">
        <v>51</v>
      </c>
      <c r="O81" s="5">
        <f t="shared" si="9"/>
        <v>0.88666666666666671</v>
      </c>
      <c r="P81" s="5">
        <f t="shared" si="10"/>
        <v>0.8242105263157895</v>
      </c>
      <c r="Q81" s="5">
        <f t="shared" si="11"/>
        <v>0.97044334975369462</v>
      </c>
      <c r="R81" s="5">
        <f t="shared" si="12"/>
        <v>0.70920000000000016</v>
      </c>
    </row>
    <row r="82" spans="1:18" x14ac:dyDescent="0.25">
      <c r="A82" s="3">
        <v>78</v>
      </c>
      <c r="B82" s="4">
        <v>46240</v>
      </c>
      <c r="C82" s="3" t="s">
        <v>18</v>
      </c>
      <c r="D82" s="3" t="s">
        <v>23</v>
      </c>
      <c r="E82" s="3" t="s">
        <v>29</v>
      </c>
      <c r="F82" s="3">
        <v>427</v>
      </c>
      <c r="G82" s="3">
        <v>415</v>
      </c>
      <c r="H82" s="3">
        <v>12</v>
      </c>
      <c r="I82" s="5">
        <f t="shared" si="7"/>
        <v>2.8103044496487119E-2</v>
      </c>
      <c r="J82" s="6">
        <f t="shared" si="8"/>
        <v>28103.04449648712</v>
      </c>
      <c r="K82" s="7">
        <v>0.75</v>
      </c>
      <c r="L82" s="3">
        <v>404</v>
      </c>
      <c r="M82" s="3">
        <v>450</v>
      </c>
      <c r="N82" s="3">
        <v>46</v>
      </c>
      <c r="O82" s="5">
        <f t="shared" si="9"/>
        <v>0.89777777777777779</v>
      </c>
      <c r="P82" s="5">
        <f t="shared" si="10"/>
        <v>0.79269801980198018</v>
      </c>
      <c r="Q82" s="5">
        <f t="shared" si="11"/>
        <v>0.97189695550351285</v>
      </c>
      <c r="R82" s="5">
        <f t="shared" si="12"/>
        <v>0.69166666666666665</v>
      </c>
    </row>
    <row r="83" spans="1:18" x14ac:dyDescent="0.25">
      <c r="A83" s="3">
        <v>79</v>
      </c>
      <c r="B83" s="4">
        <v>46240</v>
      </c>
      <c r="C83" s="3" t="s">
        <v>25</v>
      </c>
      <c r="D83" s="3" t="s">
        <v>19</v>
      </c>
      <c r="E83" s="3" t="s">
        <v>31</v>
      </c>
      <c r="F83" s="3">
        <v>1154</v>
      </c>
      <c r="G83" s="3">
        <v>1143</v>
      </c>
      <c r="H83" s="3">
        <v>11</v>
      </c>
      <c r="I83" s="5">
        <f t="shared" si="7"/>
        <v>9.5320623916811086E-3</v>
      </c>
      <c r="J83" s="6">
        <f t="shared" si="8"/>
        <v>9532.0623916811091</v>
      </c>
      <c r="K83" s="7">
        <v>0.38</v>
      </c>
      <c r="L83" s="3">
        <v>442</v>
      </c>
      <c r="M83" s="3">
        <v>450</v>
      </c>
      <c r="N83" s="3">
        <v>8</v>
      </c>
      <c r="O83" s="5">
        <f t="shared" si="9"/>
        <v>0.98222222222222222</v>
      </c>
      <c r="P83" s="5">
        <f t="shared" si="10"/>
        <v>0.99212669683257915</v>
      </c>
      <c r="Q83" s="5">
        <f t="shared" si="11"/>
        <v>0.99046793760831886</v>
      </c>
      <c r="R83" s="5">
        <f t="shared" si="12"/>
        <v>0.96519999999999995</v>
      </c>
    </row>
    <row r="84" spans="1:18" x14ac:dyDescent="0.25">
      <c r="A84" s="3">
        <v>80</v>
      </c>
      <c r="B84" s="4">
        <v>46240</v>
      </c>
      <c r="C84" s="3" t="s">
        <v>25</v>
      </c>
      <c r="D84" s="3" t="s">
        <v>21</v>
      </c>
      <c r="E84" s="3" t="s">
        <v>35</v>
      </c>
      <c r="F84" s="3">
        <v>312</v>
      </c>
      <c r="G84" s="3">
        <v>310</v>
      </c>
      <c r="H84" s="3">
        <v>2</v>
      </c>
      <c r="I84" s="5">
        <f t="shared" si="7"/>
        <v>6.41025641025641E-3</v>
      </c>
      <c r="J84" s="6">
        <f t="shared" si="8"/>
        <v>6410.2564102564102</v>
      </c>
      <c r="K84" s="7">
        <v>1.23</v>
      </c>
      <c r="L84" s="3">
        <v>432</v>
      </c>
      <c r="M84" s="3">
        <v>450</v>
      </c>
      <c r="N84" s="3">
        <v>18</v>
      </c>
      <c r="O84" s="5">
        <f t="shared" si="9"/>
        <v>0.96</v>
      </c>
      <c r="P84" s="5">
        <f t="shared" si="10"/>
        <v>0.88833333333333331</v>
      </c>
      <c r="Q84" s="5">
        <f t="shared" si="11"/>
        <v>0.99358974358974361</v>
      </c>
      <c r="R84" s="5">
        <f t="shared" si="12"/>
        <v>0.84733333333333327</v>
      </c>
    </row>
    <row r="85" spans="1:18" x14ac:dyDescent="0.25">
      <c r="A85" s="3">
        <v>81</v>
      </c>
      <c r="B85" s="4">
        <v>46240</v>
      </c>
      <c r="C85" s="3" t="s">
        <v>25</v>
      </c>
      <c r="D85" s="3" t="s">
        <v>23</v>
      </c>
      <c r="E85" s="3" t="s">
        <v>34</v>
      </c>
      <c r="F85" s="3">
        <v>277</v>
      </c>
      <c r="G85" s="3">
        <v>276</v>
      </c>
      <c r="H85" s="3">
        <v>1</v>
      </c>
      <c r="I85" s="5">
        <f t="shared" si="7"/>
        <v>3.6101083032490976E-3</v>
      </c>
      <c r="J85" s="6">
        <f t="shared" si="8"/>
        <v>3610.1083032490974</v>
      </c>
      <c r="K85" s="7">
        <v>1.51</v>
      </c>
      <c r="L85" s="3">
        <v>418</v>
      </c>
      <c r="M85" s="3">
        <v>450</v>
      </c>
      <c r="N85" s="3">
        <v>32</v>
      </c>
      <c r="O85" s="5">
        <f t="shared" si="9"/>
        <v>0.92888888888888888</v>
      </c>
      <c r="P85" s="5">
        <f t="shared" si="10"/>
        <v>1.000645933014354</v>
      </c>
      <c r="Q85" s="5">
        <f t="shared" si="11"/>
        <v>0.99638989169675085</v>
      </c>
      <c r="R85" s="5">
        <f t="shared" si="12"/>
        <v>0.92613333333333325</v>
      </c>
    </row>
    <row r="86" spans="1:18" x14ac:dyDescent="0.25">
      <c r="A86" s="3">
        <v>82</v>
      </c>
      <c r="B86" s="4">
        <v>46240</v>
      </c>
      <c r="C86" s="3" t="s">
        <v>28</v>
      </c>
      <c r="D86" s="3" t="s">
        <v>19</v>
      </c>
      <c r="E86" s="3" t="s">
        <v>31</v>
      </c>
      <c r="F86" s="3">
        <v>615</v>
      </c>
      <c r="G86" s="3">
        <v>609</v>
      </c>
      <c r="H86" s="3">
        <v>6</v>
      </c>
      <c r="I86" s="5">
        <f t="shared" si="7"/>
        <v>9.7560975609756097E-3</v>
      </c>
      <c r="J86" s="6">
        <f t="shared" si="8"/>
        <v>9756.0975609756097</v>
      </c>
      <c r="K86" s="7">
        <v>0.61</v>
      </c>
      <c r="L86" s="3">
        <v>409</v>
      </c>
      <c r="M86" s="3">
        <v>450</v>
      </c>
      <c r="N86" s="3">
        <v>41</v>
      </c>
      <c r="O86" s="5">
        <f t="shared" si="9"/>
        <v>0.90888888888888886</v>
      </c>
      <c r="P86" s="5">
        <f t="shared" si="10"/>
        <v>0.91723716381418086</v>
      </c>
      <c r="Q86" s="5">
        <f t="shared" si="11"/>
        <v>0.99024390243902438</v>
      </c>
      <c r="R86" s="5">
        <f t="shared" si="12"/>
        <v>0.82553333333333323</v>
      </c>
    </row>
    <row r="87" spans="1:18" x14ac:dyDescent="0.25">
      <c r="A87" s="3">
        <v>83</v>
      </c>
      <c r="B87" s="4">
        <v>46240</v>
      </c>
      <c r="C87" s="3" t="s">
        <v>28</v>
      </c>
      <c r="D87" s="3" t="s">
        <v>21</v>
      </c>
      <c r="E87" s="3" t="s">
        <v>29</v>
      </c>
      <c r="F87" s="3">
        <v>575</v>
      </c>
      <c r="G87" s="3">
        <v>556</v>
      </c>
      <c r="H87" s="3">
        <v>19</v>
      </c>
      <c r="I87" s="5">
        <f t="shared" si="7"/>
        <v>3.3043478260869563E-2</v>
      </c>
      <c r="J87" s="6">
        <f t="shared" si="8"/>
        <v>33043.47826086956</v>
      </c>
      <c r="K87" s="7">
        <v>0.64</v>
      </c>
      <c r="L87" s="3">
        <v>390</v>
      </c>
      <c r="M87" s="3">
        <v>450</v>
      </c>
      <c r="N87" s="3">
        <v>60</v>
      </c>
      <c r="O87" s="5">
        <f t="shared" si="9"/>
        <v>0.8666666666666667</v>
      </c>
      <c r="P87" s="5">
        <f t="shared" si="10"/>
        <v>0.94358974358974357</v>
      </c>
      <c r="Q87" s="5">
        <f t="shared" si="11"/>
        <v>0.96695652173913038</v>
      </c>
      <c r="R87" s="5">
        <f t="shared" si="12"/>
        <v>0.79075555555555554</v>
      </c>
    </row>
    <row r="88" spans="1:18" x14ac:dyDescent="0.25">
      <c r="A88" s="3">
        <v>84</v>
      </c>
      <c r="B88" s="4">
        <v>46240</v>
      </c>
      <c r="C88" s="3" t="s">
        <v>28</v>
      </c>
      <c r="D88" s="3" t="s">
        <v>23</v>
      </c>
      <c r="E88" s="3" t="s">
        <v>32</v>
      </c>
      <c r="F88" s="3">
        <v>286</v>
      </c>
      <c r="G88" s="3">
        <v>282</v>
      </c>
      <c r="H88" s="3">
        <v>4</v>
      </c>
      <c r="I88" s="5">
        <f t="shared" si="7"/>
        <v>1.3986013986013986E-2</v>
      </c>
      <c r="J88" s="6">
        <f t="shared" si="8"/>
        <v>13986.013986013986</v>
      </c>
      <c r="K88" s="7">
        <v>1.22</v>
      </c>
      <c r="L88" s="3">
        <v>387</v>
      </c>
      <c r="M88" s="3">
        <v>450</v>
      </c>
      <c r="N88" s="3">
        <v>63</v>
      </c>
      <c r="O88" s="5">
        <f t="shared" si="9"/>
        <v>0.86</v>
      </c>
      <c r="P88" s="5">
        <f t="shared" si="10"/>
        <v>0.90160206718346259</v>
      </c>
      <c r="Q88" s="5">
        <f t="shared" si="11"/>
        <v>0.98601398601398604</v>
      </c>
      <c r="R88" s="5">
        <f t="shared" si="12"/>
        <v>0.7645333333333334</v>
      </c>
    </row>
    <row r="89" spans="1:18" x14ac:dyDescent="0.25">
      <c r="A89" s="3">
        <v>85</v>
      </c>
      <c r="B89" s="4">
        <v>46240</v>
      </c>
      <c r="C89" s="3" t="s">
        <v>30</v>
      </c>
      <c r="D89" s="3" t="s">
        <v>19</v>
      </c>
      <c r="E89" s="3" t="s">
        <v>29</v>
      </c>
      <c r="F89" s="3">
        <v>323</v>
      </c>
      <c r="G89" s="3">
        <v>319</v>
      </c>
      <c r="H89" s="3">
        <v>4</v>
      </c>
      <c r="I89" s="5">
        <f t="shared" si="7"/>
        <v>1.238390092879257E-2</v>
      </c>
      <c r="J89" s="6">
        <f t="shared" si="8"/>
        <v>12383.900928792571</v>
      </c>
      <c r="K89" s="7">
        <v>1.04</v>
      </c>
      <c r="L89" s="3">
        <v>387</v>
      </c>
      <c r="M89" s="3">
        <v>450</v>
      </c>
      <c r="N89" s="3">
        <v>63</v>
      </c>
      <c r="O89" s="5">
        <f t="shared" si="9"/>
        <v>0.86</v>
      </c>
      <c r="P89" s="5">
        <f t="shared" si="10"/>
        <v>0.86801033591731269</v>
      </c>
      <c r="Q89" s="5">
        <f t="shared" si="11"/>
        <v>0.9876160990712074</v>
      </c>
      <c r="R89" s="5">
        <f t="shared" si="12"/>
        <v>0.73724444444444437</v>
      </c>
    </row>
    <row r="90" spans="1:18" x14ac:dyDescent="0.25">
      <c r="A90" s="3">
        <v>86</v>
      </c>
      <c r="B90" s="4">
        <v>46240</v>
      </c>
      <c r="C90" s="3" t="s">
        <v>30</v>
      </c>
      <c r="D90" s="3" t="s">
        <v>21</v>
      </c>
      <c r="E90" s="3" t="s">
        <v>34</v>
      </c>
      <c r="F90" s="3">
        <v>1001</v>
      </c>
      <c r="G90" s="3">
        <v>997</v>
      </c>
      <c r="H90" s="3">
        <v>4</v>
      </c>
      <c r="I90" s="5">
        <f t="shared" si="7"/>
        <v>3.996003996003996E-3</v>
      </c>
      <c r="J90" s="6">
        <f t="shared" si="8"/>
        <v>3996.0039960039958</v>
      </c>
      <c r="K90" s="7">
        <v>0.42</v>
      </c>
      <c r="L90" s="3">
        <v>439</v>
      </c>
      <c r="M90" s="3">
        <v>450</v>
      </c>
      <c r="N90" s="3">
        <v>11</v>
      </c>
      <c r="O90" s="5">
        <f t="shared" si="9"/>
        <v>0.97555555555555551</v>
      </c>
      <c r="P90" s="5">
        <f t="shared" si="10"/>
        <v>0.95767653758542137</v>
      </c>
      <c r="Q90" s="5">
        <f t="shared" si="11"/>
        <v>0.99600399600399603</v>
      </c>
      <c r="R90" s="5">
        <f t="shared" si="12"/>
        <v>0.93053333333333332</v>
      </c>
    </row>
    <row r="91" spans="1:18" x14ac:dyDescent="0.25">
      <c r="A91" s="3">
        <v>87</v>
      </c>
      <c r="B91" s="4">
        <v>46240</v>
      </c>
      <c r="C91" s="3" t="s">
        <v>30</v>
      </c>
      <c r="D91" s="3" t="s">
        <v>23</v>
      </c>
      <c r="E91" s="3" t="s">
        <v>27</v>
      </c>
      <c r="F91" s="3">
        <v>403</v>
      </c>
      <c r="G91" s="3">
        <v>391</v>
      </c>
      <c r="H91" s="3">
        <v>12</v>
      </c>
      <c r="I91" s="5">
        <f t="shared" si="7"/>
        <v>2.9776674937965261E-2</v>
      </c>
      <c r="J91" s="6">
        <f t="shared" si="8"/>
        <v>29776.674937965261</v>
      </c>
      <c r="K91" s="7">
        <v>0.99</v>
      </c>
      <c r="L91" s="3">
        <v>424</v>
      </c>
      <c r="M91" s="3">
        <v>450</v>
      </c>
      <c r="N91" s="3">
        <v>26</v>
      </c>
      <c r="O91" s="5">
        <f t="shared" si="9"/>
        <v>0.94222222222222218</v>
      </c>
      <c r="P91" s="5">
        <f t="shared" si="10"/>
        <v>0.94096698113207544</v>
      </c>
      <c r="Q91" s="5">
        <f t="shared" si="11"/>
        <v>0.97022332506203479</v>
      </c>
      <c r="R91" s="5">
        <f t="shared" si="12"/>
        <v>0.86019999999999996</v>
      </c>
    </row>
    <row r="92" spans="1:18" x14ac:dyDescent="0.25">
      <c r="A92" s="3">
        <v>88</v>
      </c>
      <c r="B92" s="4">
        <v>46240</v>
      </c>
      <c r="C92" s="3" t="s">
        <v>33</v>
      </c>
      <c r="D92" s="3" t="s">
        <v>19</v>
      </c>
      <c r="E92" s="3" t="s">
        <v>34</v>
      </c>
      <c r="F92" s="3">
        <v>267</v>
      </c>
      <c r="G92" s="3">
        <v>265</v>
      </c>
      <c r="H92" s="3">
        <v>2</v>
      </c>
      <c r="I92" s="5">
        <f t="shared" si="7"/>
        <v>7.4906367041198503E-3</v>
      </c>
      <c r="J92" s="6">
        <f t="shared" si="8"/>
        <v>7490.63670411985</v>
      </c>
      <c r="K92" s="7">
        <v>1.48</v>
      </c>
      <c r="L92" s="3">
        <v>414</v>
      </c>
      <c r="M92" s="3">
        <v>450</v>
      </c>
      <c r="N92" s="3">
        <v>36</v>
      </c>
      <c r="O92" s="5">
        <f t="shared" si="9"/>
        <v>0.92</v>
      </c>
      <c r="P92" s="5">
        <f t="shared" si="10"/>
        <v>0.95449275362318831</v>
      </c>
      <c r="Q92" s="5">
        <f t="shared" si="11"/>
        <v>0.99250936329588013</v>
      </c>
      <c r="R92" s="5">
        <f t="shared" si="12"/>
        <v>0.87155555555555553</v>
      </c>
    </row>
    <row r="93" spans="1:18" x14ac:dyDescent="0.25">
      <c r="A93" s="3">
        <v>89</v>
      </c>
      <c r="B93" s="4">
        <v>46240</v>
      </c>
      <c r="C93" s="3" t="s">
        <v>33</v>
      </c>
      <c r="D93" s="3" t="s">
        <v>21</v>
      </c>
      <c r="E93" s="3" t="s">
        <v>34</v>
      </c>
      <c r="F93" s="3">
        <v>354</v>
      </c>
      <c r="G93" s="3">
        <v>349</v>
      </c>
      <c r="H93" s="3">
        <v>5</v>
      </c>
      <c r="I93" s="5">
        <f t="shared" si="7"/>
        <v>1.4124293785310734E-2</v>
      </c>
      <c r="J93" s="6">
        <f t="shared" si="8"/>
        <v>14124.293785310734</v>
      </c>
      <c r="K93" s="7">
        <v>1.04</v>
      </c>
      <c r="L93" s="3">
        <v>396</v>
      </c>
      <c r="M93" s="3">
        <v>450</v>
      </c>
      <c r="N93" s="3">
        <v>54</v>
      </c>
      <c r="O93" s="5">
        <f t="shared" si="9"/>
        <v>0.88</v>
      </c>
      <c r="P93" s="5">
        <f t="shared" si="10"/>
        <v>0.9296969696969698</v>
      </c>
      <c r="Q93" s="5">
        <f t="shared" si="11"/>
        <v>0.98587570621468923</v>
      </c>
      <c r="R93" s="5">
        <f t="shared" si="12"/>
        <v>0.80657777777777784</v>
      </c>
    </row>
    <row r="94" spans="1:18" x14ac:dyDescent="0.25">
      <c r="A94" s="3">
        <v>90</v>
      </c>
      <c r="B94" s="4">
        <v>46240</v>
      </c>
      <c r="C94" s="3" t="s">
        <v>33</v>
      </c>
      <c r="D94" s="3" t="s">
        <v>23</v>
      </c>
      <c r="E94" s="3" t="s">
        <v>24</v>
      </c>
      <c r="F94" s="3">
        <v>856</v>
      </c>
      <c r="G94" s="3">
        <v>839</v>
      </c>
      <c r="H94" s="3">
        <v>17</v>
      </c>
      <c r="I94" s="5">
        <f t="shared" si="7"/>
        <v>1.9859813084112148E-2</v>
      </c>
      <c r="J94" s="6">
        <f t="shared" si="8"/>
        <v>19859.813084112149</v>
      </c>
      <c r="K94" s="7">
        <v>0.41</v>
      </c>
      <c r="L94" s="3">
        <v>393</v>
      </c>
      <c r="M94" s="3">
        <v>450</v>
      </c>
      <c r="N94" s="3">
        <v>57</v>
      </c>
      <c r="O94" s="5">
        <f t="shared" si="9"/>
        <v>0.87333333333333329</v>
      </c>
      <c r="P94" s="5">
        <f t="shared" si="10"/>
        <v>0.89302798982188292</v>
      </c>
      <c r="Q94" s="5">
        <f t="shared" si="11"/>
        <v>0.98014018691588789</v>
      </c>
      <c r="R94" s="5">
        <f t="shared" si="12"/>
        <v>0.76442222222222211</v>
      </c>
    </row>
    <row r="95" spans="1:18" x14ac:dyDescent="0.25">
      <c r="A95" s="3">
        <v>91</v>
      </c>
      <c r="B95" s="4">
        <v>46241</v>
      </c>
      <c r="C95" s="3" t="s">
        <v>18</v>
      </c>
      <c r="D95" s="3" t="s">
        <v>19</v>
      </c>
      <c r="E95" s="3" t="s">
        <v>26</v>
      </c>
      <c r="F95" s="3">
        <v>698</v>
      </c>
      <c r="G95" s="3">
        <v>669</v>
      </c>
      <c r="H95" s="3">
        <v>29</v>
      </c>
      <c r="I95" s="5">
        <f t="shared" si="7"/>
        <v>4.1547277936962751E-2</v>
      </c>
      <c r="J95" s="6">
        <f t="shared" si="8"/>
        <v>41547.277936962753</v>
      </c>
      <c r="K95" s="7">
        <v>0.61</v>
      </c>
      <c r="L95" s="3">
        <v>432</v>
      </c>
      <c r="M95" s="3">
        <v>450</v>
      </c>
      <c r="N95" s="3">
        <v>18</v>
      </c>
      <c r="O95" s="5">
        <f t="shared" si="9"/>
        <v>0.96</v>
      </c>
      <c r="P95" s="5">
        <f t="shared" si="10"/>
        <v>0.98560185185185178</v>
      </c>
      <c r="Q95" s="5">
        <f t="shared" si="11"/>
        <v>0.95845272206303722</v>
      </c>
      <c r="R95" s="5">
        <f t="shared" si="12"/>
        <v>0.90686666666666649</v>
      </c>
    </row>
    <row r="96" spans="1:18" x14ac:dyDescent="0.25">
      <c r="A96" s="3">
        <v>92</v>
      </c>
      <c r="B96" s="4">
        <v>46241</v>
      </c>
      <c r="C96" s="3" t="s">
        <v>18</v>
      </c>
      <c r="D96" s="3" t="s">
        <v>21</v>
      </c>
      <c r="E96" s="3" t="s">
        <v>24</v>
      </c>
      <c r="F96" s="3">
        <v>500</v>
      </c>
      <c r="G96" s="3">
        <v>479</v>
      </c>
      <c r="H96" s="3">
        <v>21</v>
      </c>
      <c r="I96" s="5">
        <f t="shared" si="7"/>
        <v>4.2000000000000003E-2</v>
      </c>
      <c r="J96" s="6">
        <f t="shared" si="8"/>
        <v>42000</v>
      </c>
      <c r="K96" s="7">
        <v>0.64</v>
      </c>
      <c r="L96" s="3">
        <v>408</v>
      </c>
      <c r="M96" s="3">
        <v>450</v>
      </c>
      <c r="N96" s="3">
        <v>42</v>
      </c>
      <c r="O96" s="5">
        <f t="shared" si="9"/>
        <v>0.90666666666666662</v>
      </c>
      <c r="P96" s="5">
        <f t="shared" si="10"/>
        <v>0.78431372549019607</v>
      </c>
      <c r="Q96" s="5">
        <f t="shared" si="11"/>
        <v>0.95799999999999996</v>
      </c>
      <c r="R96" s="5">
        <f t="shared" si="12"/>
        <v>0.68124444444444432</v>
      </c>
    </row>
    <row r="97" spans="1:18" x14ac:dyDescent="0.25">
      <c r="A97" s="3">
        <v>93</v>
      </c>
      <c r="B97" s="4">
        <v>46241</v>
      </c>
      <c r="C97" s="3" t="s">
        <v>18</v>
      </c>
      <c r="D97" s="3" t="s">
        <v>23</v>
      </c>
      <c r="E97" s="3" t="s">
        <v>29</v>
      </c>
      <c r="F97" s="3">
        <v>176</v>
      </c>
      <c r="G97" s="3">
        <v>170</v>
      </c>
      <c r="H97" s="3">
        <v>6</v>
      </c>
      <c r="I97" s="5">
        <f t="shared" si="7"/>
        <v>3.4090909090909088E-2</v>
      </c>
      <c r="J97" s="6">
        <f t="shared" si="8"/>
        <v>34090.909090909088</v>
      </c>
      <c r="K97" s="7">
        <v>1.73</v>
      </c>
      <c r="L97" s="3">
        <v>389</v>
      </c>
      <c r="M97" s="3">
        <v>450</v>
      </c>
      <c r="N97" s="3">
        <v>61</v>
      </c>
      <c r="O97" s="5">
        <f t="shared" si="9"/>
        <v>0.86444444444444446</v>
      </c>
      <c r="P97" s="5">
        <f t="shared" si="10"/>
        <v>0.7827249357326479</v>
      </c>
      <c r="Q97" s="5">
        <f t="shared" si="11"/>
        <v>0.96590909090909094</v>
      </c>
      <c r="R97" s="5">
        <f t="shared" si="12"/>
        <v>0.65355555555555567</v>
      </c>
    </row>
    <row r="98" spans="1:18" x14ac:dyDescent="0.25">
      <c r="A98" s="3">
        <v>94</v>
      </c>
      <c r="B98" s="4">
        <v>46241</v>
      </c>
      <c r="C98" s="3" t="s">
        <v>25</v>
      </c>
      <c r="D98" s="3" t="s">
        <v>19</v>
      </c>
      <c r="E98" s="3" t="s">
        <v>34</v>
      </c>
      <c r="F98" s="3">
        <v>252</v>
      </c>
      <c r="G98" s="3">
        <v>245</v>
      </c>
      <c r="H98" s="3">
        <v>7</v>
      </c>
      <c r="I98" s="5">
        <f t="shared" si="7"/>
        <v>2.7777777777777776E-2</v>
      </c>
      <c r="J98" s="6">
        <f t="shared" si="8"/>
        <v>27777.777777777777</v>
      </c>
      <c r="K98" s="7">
        <v>1.76</v>
      </c>
      <c r="L98" s="3">
        <v>434</v>
      </c>
      <c r="M98" s="3">
        <v>450</v>
      </c>
      <c r="N98" s="3">
        <v>16</v>
      </c>
      <c r="O98" s="5">
        <f t="shared" si="9"/>
        <v>0.96444444444444444</v>
      </c>
      <c r="P98" s="5">
        <f t="shared" si="10"/>
        <v>1.0219354838709678</v>
      </c>
      <c r="Q98" s="5">
        <f t="shared" si="11"/>
        <v>0.97222222222222221</v>
      </c>
      <c r="R98" s="5">
        <f t="shared" si="12"/>
        <v>0.9582222222222222</v>
      </c>
    </row>
    <row r="99" spans="1:18" x14ac:dyDescent="0.25">
      <c r="A99" s="3">
        <v>95</v>
      </c>
      <c r="B99" s="4">
        <v>46241</v>
      </c>
      <c r="C99" s="3" t="s">
        <v>25</v>
      </c>
      <c r="D99" s="3" t="s">
        <v>21</v>
      </c>
      <c r="E99" s="3" t="s">
        <v>26</v>
      </c>
      <c r="F99" s="3">
        <v>841</v>
      </c>
      <c r="G99" s="3">
        <v>817</v>
      </c>
      <c r="H99" s="3">
        <v>24</v>
      </c>
      <c r="I99" s="5">
        <f t="shared" si="7"/>
        <v>2.8537455410225922E-2</v>
      </c>
      <c r="J99" s="6">
        <f t="shared" si="8"/>
        <v>28537.455410225921</v>
      </c>
      <c r="K99" s="7">
        <v>0.46</v>
      </c>
      <c r="L99" s="3">
        <v>390</v>
      </c>
      <c r="M99" s="3">
        <v>450</v>
      </c>
      <c r="N99" s="3">
        <v>60</v>
      </c>
      <c r="O99" s="5">
        <f t="shared" si="9"/>
        <v>0.8666666666666667</v>
      </c>
      <c r="P99" s="5">
        <f t="shared" si="10"/>
        <v>0.99194871794871797</v>
      </c>
      <c r="Q99" s="5">
        <f t="shared" si="11"/>
        <v>0.9714625445897741</v>
      </c>
      <c r="R99" s="5">
        <f t="shared" si="12"/>
        <v>0.83515555555555565</v>
      </c>
    </row>
    <row r="100" spans="1:18" x14ac:dyDescent="0.25">
      <c r="A100" s="3">
        <v>96</v>
      </c>
      <c r="B100" s="4">
        <v>46241</v>
      </c>
      <c r="C100" s="3" t="s">
        <v>25</v>
      </c>
      <c r="D100" s="3" t="s">
        <v>23</v>
      </c>
      <c r="E100" s="3" t="s">
        <v>24</v>
      </c>
      <c r="F100" s="3">
        <v>309</v>
      </c>
      <c r="G100" s="3">
        <v>306</v>
      </c>
      <c r="H100" s="3">
        <v>3</v>
      </c>
      <c r="I100" s="5">
        <f t="shared" si="7"/>
        <v>9.7087378640776691E-3</v>
      </c>
      <c r="J100" s="6">
        <f t="shared" si="8"/>
        <v>9708.7378640776697</v>
      </c>
      <c r="K100" s="7">
        <v>1.24</v>
      </c>
      <c r="L100" s="3">
        <v>416</v>
      </c>
      <c r="M100" s="3">
        <v>450</v>
      </c>
      <c r="N100" s="3">
        <v>34</v>
      </c>
      <c r="O100" s="5">
        <f t="shared" si="9"/>
        <v>0.9244444444444444</v>
      </c>
      <c r="P100" s="5">
        <f t="shared" si="10"/>
        <v>0.92105769230769241</v>
      </c>
      <c r="Q100" s="5">
        <f t="shared" si="11"/>
        <v>0.99029126213592233</v>
      </c>
      <c r="R100" s="5">
        <f t="shared" si="12"/>
        <v>0.84320000000000006</v>
      </c>
    </row>
    <row r="101" spans="1:18" x14ac:dyDescent="0.25">
      <c r="A101" s="3">
        <v>97</v>
      </c>
      <c r="B101" s="4">
        <v>46241</v>
      </c>
      <c r="C101" s="3" t="s">
        <v>28</v>
      </c>
      <c r="D101" s="3" t="s">
        <v>19</v>
      </c>
      <c r="E101" s="3" t="s">
        <v>34</v>
      </c>
      <c r="F101" s="3">
        <v>236</v>
      </c>
      <c r="G101" s="3">
        <v>228</v>
      </c>
      <c r="H101" s="3">
        <v>8</v>
      </c>
      <c r="I101" s="5">
        <f t="shared" si="7"/>
        <v>3.3898305084745763E-2</v>
      </c>
      <c r="J101" s="6">
        <f t="shared" si="8"/>
        <v>33898.305084745763</v>
      </c>
      <c r="K101" s="7">
        <v>1.42</v>
      </c>
      <c r="L101" s="3">
        <v>420</v>
      </c>
      <c r="M101" s="3">
        <v>450</v>
      </c>
      <c r="N101" s="3">
        <v>30</v>
      </c>
      <c r="O101" s="5">
        <f t="shared" si="9"/>
        <v>0.93333333333333335</v>
      </c>
      <c r="P101" s="5">
        <f t="shared" si="10"/>
        <v>0.79790476190476189</v>
      </c>
      <c r="Q101" s="5">
        <f t="shared" si="11"/>
        <v>0.96610169491525422</v>
      </c>
      <c r="R101" s="5">
        <f t="shared" si="12"/>
        <v>0.71946666666666659</v>
      </c>
    </row>
    <row r="102" spans="1:18" x14ac:dyDescent="0.25">
      <c r="A102" s="3">
        <v>98</v>
      </c>
      <c r="B102" s="4">
        <v>46241</v>
      </c>
      <c r="C102" s="3" t="s">
        <v>28</v>
      </c>
      <c r="D102" s="3" t="s">
        <v>21</v>
      </c>
      <c r="E102" s="3" t="s">
        <v>20</v>
      </c>
      <c r="F102" s="3">
        <v>237</v>
      </c>
      <c r="G102" s="3">
        <v>233</v>
      </c>
      <c r="H102" s="3">
        <v>4</v>
      </c>
      <c r="I102" s="5">
        <f t="shared" si="7"/>
        <v>1.6877637130801686E-2</v>
      </c>
      <c r="J102" s="6">
        <f t="shared" si="8"/>
        <v>16877.637130801686</v>
      </c>
      <c r="K102" s="7">
        <v>1.58</v>
      </c>
      <c r="L102" s="3">
        <v>414</v>
      </c>
      <c r="M102" s="3">
        <v>450</v>
      </c>
      <c r="N102" s="3">
        <v>36</v>
      </c>
      <c r="O102" s="5">
        <f t="shared" si="9"/>
        <v>0.92</v>
      </c>
      <c r="P102" s="5">
        <f t="shared" si="10"/>
        <v>0.90449275362318848</v>
      </c>
      <c r="Q102" s="5">
        <f t="shared" si="11"/>
        <v>0.9831223628691983</v>
      </c>
      <c r="R102" s="5">
        <f t="shared" si="12"/>
        <v>0.81808888888888898</v>
      </c>
    </row>
    <row r="103" spans="1:18" x14ac:dyDescent="0.25">
      <c r="A103" s="3">
        <v>99</v>
      </c>
      <c r="B103" s="4">
        <v>46241</v>
      </c>
      <c r="C103" s="3" t="s">
        <v>28</v>
      </c>
      <c r="D103" s="3" t="s">
        <v>23</v>
      </c>
      <c r="E103" s="3" t="s">
        <v>24</v>
      </c>
      <c r="F103" s="3">
        <v>228</v>
      </c>
      <c r="G103" s="3">
        <v>224</v>
      </c>
      <c r="H103" s="3">
        <v>4</v>
      </c>
      <c r="I103" s="5">
        <f t="shared" si="7"/>
        <v>1.7543859649122806E-2</v>
      </c>
      <c r="J103" s="6">
        <f t="shared" si="8"/>
        <v>17543.859649122805</v>
      </c>
      <c r="K103" s="7">
        <v>1.76</v>
      </c>
      <c r="L103" s="3">
        <v>417</v>
      </c>
      <c r="M103" s="3">
        <v>450</v>
      </c>
      <c r="N103" s="3">
        <v>33</v>
      </c>
      <c r="O103" s="5">
        <f t="shared" si="9"/>
        <v>0.92666666666666664</v>
      </c>
      <c r="P103" s="5">
        <f t="shared" si="10"/>
        <v>0.96230215827338139</v>
      </c>
      <c r="Q103" s="5">
        <f t="shared" si="11"/>
        <v>0.98245614035087714</v>
      </c>
      <c r="R103" s="5">
        <f t="shared" si="12"/>
        <v>0.87608888888888892</v>
      </c>
    </row>
    <row r="104" spans="1:18" x14ac:dyDescent="0.25">
      <c r="A104" s="3">
        <v>100</v>
      </c>
      <c r="B104" s="4">
        <v>46241</v>
      </c>
      <c r="C104" s="3" t="s">
        <v>30</v>
      </c>
      <c r="D104" s="3" t="s">
        <v>19</v>
      </c>
      <c r="E104" s="3" t="s">
        <v>26</v>
      </c>
      <c r="F104" s="3">
        <v>631</v>
      </c>
      <c r="G104" s="3">
        <v>604</v>
      </c>
      <c r="H104" s="3">
        <v>27</v>
      </c>
      <c r="I104" s="5">
        <f t="shared" si="7"/>
        <v>4.2789223454833596E-2</v>
      </c>
      <c r="J104" s="6">
        <f t="shared" si="8"/>
        <v>42789.223454833598</v>
      </c>
      <c r="K104" s="7">
        <v>0.6</v>
      </c>
      <c r="L104" s="3">
        <v>423</v>
      </c>
      <c r="M104" s="3">
        <v>450</v>
      </c>
      <c r="N104" s="3">
        <v>27</v>
      </c>
      <c r="O104" s="5">
        <f t="shared" si="9"/>
        <v>0.94</v>
      </c>
      <c r="P104" s="5">
        <f t="shared" si="10"/>
        <v>0.89503546099290776</v>
      </c>
      <c r="Q104" s="5">
        <f t="shared" si="11"/>
        <v>0.9572107765451664</v>
      </c>
      <c r="R104" s="5">
        <f t="shared" si="12"/>
        <v>0.80533333333333323</v>
      </c>
    </row>
    <row r="105" spans="1:18" x14ac:dyDescent="0.25">
      <c r="A105" s="3">
        <v>101</v>
      </c>
      <c r="B105" s="4">
        <v>46241</v>
      </c>
      <c r="C105" s="3" t="s">
        <v>30</v>
      </c>
      <c r="D105" s="3" t="s">
        <v>21</v>
      </c>
      <c r="E105" s="3" t="s">
        <v>24</v>
      </c>
      <c r="F105" s="3">
        <v>255</v>
      </c>
      <c r="G105" s="3">
        <v>245</v>
      </c>
      <c r="H105" s="3">
        <v>10</v>
      </c>
      <c r="I105" s="5">
        <f t="shared" si="7"/>
        <v>3.9215686274509803E-2</v>
      </c>
      <c r="J105" s="6">
        <f t="shared" si="8"/>
        <v>39215.686274509804</v>
      </c>
      <c r="K105" s="7">
        <v>1.41</v>
      </c>
      <c r="L105" s="3">
        <v>432</v>
      </c>
      <c r="M105" s="3">
        <v>450</v>
      </c>
      <c r="N105" s="3">
        <v>18</v>
      </c>
      <c r="O105" s="5">
        <f t="shared" si="9"/>
        <v>0.96</v>
      </c>
      <c r="P105" s="5">
        <f t="shared" si="10"/>
        <v>0.83229166666666654</v>
      </c>
      <c r="Q105" s="5">
        <f t="shared" si="11"/>
        <v>0.96078431372549022</v>
      </c>
      <c r="R105" s="5">
        <f t="shared" si="12"/>
        <v>0.7676666666666665</v>
      </c>
    </row>
    <row r="106" spans="1:18" x14ac:dyDescent="0.25">
      <c r="A106" s="3">
        <v>102</v>
      </c>
      <c r="B106" s="4">
        <v>46241</v>
      </c>
      <c r="C106" s="3" t="s">
        <v>30</v>
      </c>
      <c r="D106" s="3" t="s">
        <v>23</v>
      </c>
      <c r="E106" s="3" t="s">
        <v>35</v>
      </c>
      <c r="F106" s="3">
        <v>404</v>
      </c>
      <c r="G106" s="3">
        <v>392</v>
      </c>
      <c r="H106" s="3">
        <v>12</v>
      </c>
      <c r="I106" s="5">
        <f t="shared" si="7"/>
        <v>2.9702970297029702E-2</v>
      </c>
      <c r="J106" s="6">
        <f t="shared" si="8"/>
        <v>29702.9702970297</v>
      </c>
      <c r="K106" s="7">
        <v>0.9</v>
      </c>
      <c r="L106" s="3">
        <v>433</v>
      </c>
      <c r="M106" s="3">
        <v>450</v>
      </c>
      <c r="N106" s="3">
        <v>17</v>
      </c>
      <c r="O106" s="5">
        <f t="shared" si="9"/>
        <v>0.9622222222222222</v>
      </c>
      <c r="P106" s="5">
        <f t="shared" si="10"/>
        <v>0.83972286374133953</v>
      </c>
      <c r="Q106" s="5">
        <f t="shared" si="11"/>
        <v>0.97029702970297027</v>
      </c>
      <c r="R106" s="5">
        <f t="shared" si="12"/>
        <v>0.78400000000000003</v>
      </c>
    </row>
    <row r="107" spans="1:18" x14ac:dyDescent="0.25">
      <c r="A107" s="3">
        <v>103</v>
      </c>
      <c r="B107" s="4">
        <v>46241</v>
      </c>
      <c r="C107" s="3" t="s">
        <v>33</v>
      </c>
      <c r="D107" s="3" t="s">
        <v>19</v>
      </c>
      <c r="E107" s="3" t="s">
        <v>35</v>
      </c>
      <c r="F107" s="3">
        <v>196</v>
      </c>
      <c r="G107" s="3">
        <v>190</v>
      </c>
      <c r="H107" s="3">
        <v>6</v>
      </c>
      <c r="I107" s="5">
        <f t="shared" si="7"/>
        <v>3.0612244897959183E-2</v>
      </c>
      <c r="J107" s="6">
        <f t="shared" si="8"/>
        <v>30612.244897959183</v>
      </c>
      <c r="K107" s="7">
        <v>1.69</v>
      </c>
      <c r="L107" s="3">
        <v>394</v>
      </c>
      <c r="M107" s="3">
        <v>450</v>
      </c>
      <c r="N107" s="3">
        <v>56</v>
      </c>
      <c r="O107" s="5">
        <f t="shared" si="9"/>
        <v>0.87555555555555553</v>
      </c>
      <c r="P107" s="5">
        <f t="shared" si="10"/>
        <v>0.84071065989847715</v>
      </c>
      <c r="Q107" s="5">
        <f t="shared" si="11"/>
        <v>0.96938775510204078</v>
      </c>
      <c r="R107" s="5">
        <f t="shared" si="12"/>
        <v>0.7135555555555555</v>
      </c>
    </row>
    <row r="108" spans="1:18" x14ac:dyDescent="0.25">
      <c r="A108" s="3">
        <v>104</v>
      </c>
      <c r="B108" s="4">
        <v>46241</v>
      </c>
      <c r="C108" s="3" t="s">
        <v>33</v>
      </c>
      <c r="D108" s="3" t="s">
        <v>21</v>
      </c>
      <c r="E108" s="3" t="s">
        <v>29</v>
      </c>
      <c r="F108" s="3">
        <v>185</v>
      </c>
      <c r="G108" s="3">
        <v>179</v>
      </c>
      <c r="H108" s="3">
        <v>6</v>
      </c>
      <c r="I108" s="5">
        <f t="shared" si="7"/>
        <v>3.2432432432432434E-2</v>
      </c>
      <c r="J108" s="6">
        <f t="shared" si="8"/>
        <v>32432.432432432433</v>
      </c>
      <c r="K108" s="7">
        <v>1.78</v>
      </c>
      <c r="L108" s="3">
        <v>412</v>
      </c>
      <c r="M108" s="3">
        <v>450</v>
      </c>
      <c r="N108" s="3">
        <v>38</v>
      </c>
      <c r="O108" s="5">
        <f t="shared" si="9"/>
        <v>0.91555555555555557</v>
      </c>
      <c r="P108" s="5">
        <f t="shared" si="10"/>
        <v>0.79927184466019419</v>
      </c>
      <c r="Q108" s="5">
        <f t="shared" si="11"/>
        <v>0.96756756756756757</v>
      </c>
      <c r="R108" s="5">
        <f t="shared" si="12"/>
        <v>0.70804444444444437</v>
      </c>
    </row>
    <row r="109" spans="1:18" x14ac:dyDescent="0.25">
      <c r="A109" s="3">
        <v>105</v>
      </c>
      <c r="B109" s="4">
        <v>46241</v>
      </c>
      <c r="C109" s="3" t="s">
        <v>33</v>
      </c>
      <c r="D109" s="3" t="s">
        <v>23</v>
      </c>
      <c r="E109" s="3" t="s">
        <v>20</v>
      </c>
      <c r="F109" s="3">
        <v>414</v>
      </c>
      <c r="G109" s="3">
        <v>404</v>
      </c>
      <c r="H109" s="3">
        <v>10</v>
      </c>
      <c r="I109" s="5">
        <f t="shared" si="7"/>
        <v>2.4154589371980676E-2</v>
      </c>
      <c r="J109" s="6">
        <f t="shared" si="8"/>
        <v>24154.589371980677</v>
      </c>
      <c r="K109" s="7">
        <v>0.84</v>
      </c>
      <c r="L109" s="3">
        <v>436</v>
      </c>
      <c r="M109" s="3">
        <v>450</v>
      </c>
      <c r="N109" s="3">
        <v>14</v>
      </c>
      <c r="O109" s="5">
        <f t="shared" si="9"/>
        <v>0.96888888888888891</v>
      </c>
      <c r="P109" s="5">
        <f t="shared" si="10"/>
        <v>0.79761467889908255</v>
      </c>
      <c r="Q109" s="5">
        <f t="shared" si="11"/>
        <v>0.97584541062801933</v>
      </c>
      <c r="R109" s="5">
        <f t="shared" si="12"/>
        <v>0.75413333333333332</v>
      </c>
    </row>
    <row r="110" spans="1:18" x14ac:dyDescent="0.25">
      <c r="A110" s="3">
        <v>106</v>
      </c>
      <c r="B110" s="4">
        <v>46242</v>
      </c>
      <c r="C110" s="3" t="s">
        <v>18</v>
      </c>
      <c r="D110" s="3" t="s">
        <v>19</v>
      </c>
      <c r="E110" s="3" t="s">
        <v>27</v>
      </c>
      <c r="F110" s="3">
        <v>262</v>
      </c>
      <c r="G110" s="3">
        <v>252</v>
      </c>
      <c r="H110" s="3">
        <v>10</v>
      </c>
      <c r="I110" s="5">
        <f t="shared" si="7"/>
        <v>3.8167938931297711E-2</v>
      </c>
      <c r="J110" s="6">
        <f t="shared" si="8"/>
        <v>38167.938931297715</v>
      </c>
      <c r="K110" s="7">
        <v>1.44</v>
      </c>
      <c r="L110" s="3">
        <v>437</v>
      </c>
      <c r="M110" s="3">
        <v>450</v>
      </c>
      <c r="N110" s="3">
        <v>13</v>
      </c>
      <c r="O110" s="5">
        <f t="shared" si="9"/>
        <v>0.97111111111111115</v>
      </c>
      <c r="P110" s="5">
        <f t="shared" si="10"/>
        <v>0.86334096109839809</v>
      </c>
      <c r="Q110" s="5">
        <f t="shared" si="11"/>
        <v>0.96183206106870234</v>
      </c>
      <c r="R110" s="5">
        <f t="shared" si="12"/>
        <v>0.80640000000000001</v>
      </c>
    </row>
    <row r="111" spans="1:18" x14ac:dyDescent="0.25">
      <c r="A111" s="3">
        <v>107</v>
      </c>
      <c r="B111" s="4">
        <v>46242</v>
      </c>
      <c r="C111" s="3" t="s">
        <v>18</v>
      </c>
      <c r="D111" s="3" t="s">
        <v>21</v>
      </c>
      <c r="E111" s="3" t="s">
        <v>27</v>
      </c>
      <c r="F111" s="3">
        <v>385</v>
      </c>
      <c r="G111" s="3">
        <v>377</v>
      </c>
      <c r="H111" s="3">
        <v>8</v>
      </c>
      <c r="I111" s="5">
        <f t="shared" si="7"/>
        <v>2.0779220779220779E-2</v>
      </c>
      <c r="J111" s="6">
        <f t="shared" si="8"/>
        <v>20779.220779220781</v>
      </c>
      <c r="K111" s="7">
        <v>1.1000000000000001</v>
      </c>
      <c r="L111" s="3">
        <v>428</v>
      </c>
      <c r="M111" s="3">
        <v>450</v>
      </c>
      <c r="N111" s="3">
        <v>22</v>
      </c>
      <c r="O111" s="5">
        <f t="shared" si="9"/>
        <v>0.95111111111111113</v>
      </c>
      <c r="P111" s="5">
        <f t="shared" si="10"/>
        <v>0.98948598130841137</v>
      </c>
      <c r="Q111" s="5">
        <f t="shared" si="11"/>
        <v>0.97922077922077921</v>
      </c>
      <c r="R111" s="5">
        <f t="shared" si="12"/>
        <v>0.92155555555555568</v>
      </c>
    </row>
    <row r="112" spans="1:18" x14ac:dyDescent="0.25">
      <c r="A112" s="3">
        <v>108</v>
      </c>
      <c r="B112" s="4">
        <v>46242</v>
      </c>
      <c r="C112" s="3" t="s">
        <v>18</v>
      </c>
      <c r="D112" s="3" t="s">
        <v>23</v>
      </c>
      <c r="E112" s="3" t="s">
        <v>26</v>
      </c>
      <c r="F112" s="3">
        <v>201</v>
      </c>
      <c r="G112" s="3">
        <v>193</v>
      </c>
      <c r="H112" s="3">
        <v>8</v>
      </c>
      <c r="I112" s="5">
        <f t="shared" si="7"/>
        <v>3.9800995024875621E-2</v>
      </c>
      <c r="J112" s="6">
        <f t="shared" si="8"/>
        <v>39800.995024875621</v>
      </c>
      <c r="K112" s="7">
        <v>1.73</v>
      </c>
      <c r="L112" s="3">
        <v>430</v>
      </c>
      <c r="M112" s="3">
        <v>450</v>
      </c>
      <c r="N112" s="3">
        <v>20</v>
      </c>
      <c r="O112" s="5">
        <f t="shared" si="9"/>
        <v>0.9555555555555556</v>
      </c>
      <c r="P112" s="5">
        <f t="shared" si="10"/>
        <v>0.80867441860465117</v>
      </c>
      <c r="Q112" s="5">
        <f t="shared" si="11"/>
        <v>0.96019900497512434</v>
      </c>
      <c r="R112" s="5">
        <f t="shared" si="12"/>
        <v>0.74197777777777785</v>
      </c>
    </row>
    <row r="113" spans="1:18" x14ac:dyDescent="0.25">
      <c r="A113" s="3">
        <v>109</v>
      </c>
      <c r="B113" s="4">
        <v>46242</v>
      </c>
      <c r="C113" s="3" t="s">
        <v>25</v>
      </c>
      <c r="D113" s="3" t="s">
        <v>19</v>
      </c>
      <c r="E113" s="3" t="s">
        <v>32</v>
      </c>
      <c r="F113" s="3">
        <v>312</v>
      </c>
      <c r="G113" s="3">
        <v>309</v>
      </c>
      <c r="H113" s="3">
        <v>3</v>
      </c>
      <c r="I113" s="5">
        <f t="shared" si="7"/>
        <v>9.6153846153846159E-3</v>
      </c>
      <c r="J113" s="6">
        <f t="shared" si="8"/>
        <v>9615.3846153846152</v>
      </c>
      <c r="K113" s="7">
        <v>1.06</v>
      </c>
      <c r="L113" s="3">
        <v>406</v>
      </c>
      <c r="M113" s="3">
        <v>450</v>
      </c>
      <c r="N113" s="3">
        <v>44</v>
      </c>
      <c r="O113" s="5">
        <f t="shared" si="9"/>
        <v>0.90222222222222226</v>
      </c>
      <c r="P113" s="5">
        <f t="shared" si="10"/>
        <v>0.81458128078817738</v>
      </c>
      <c r="Q113" s="5">
        <f t="shared" si="11"/>
        <v>0.99038461538461542</v>
      </c>
      <c r="R113" s="5">
        <f t="shared" si="12"/>
        <v>0.72786666666666677</v>
      </c>
    </row>
    <row r="114" spans="1:18" x14ac:dyDescent="0.25">
      <c r="A114" s="3">
        <v>110</v>
      </c>
      <c r="B114" s="4">
        <v>46242</v>
      </c>
      <c r="C114" s="3" t="s">
        <v>25</v>
      </c>
      <c r="D114" s="3" t="s">
        <v>21</v>
      </c>
      <c r="E114" s="3" t="s">
        <v>27</v>
      </c>
      <c r="F114" s="3">
        <v>275</v>
      </c>
      <c r="G114" s="3">
        <v>273</v>
      </c>
      <c r="H114" s="3">
        <v>2</v>
      </c>
      <c r="I114" s="5">
        <f t="shared" si="7"/>
        <v>7.2727272727272727E-3</v>
      </c>
      <c r="J114" s="6">
        <f t="shared" si="8"/>
        <v>7272.727272727273</v>
      </c>
      <c r="K114" s="7">
        <v>1.35</v>
      </c>
      <c r="L114" s="3">
        <v>437</v>
      </c>
      <c r="M114" s="3">
        <v>450</v>
      </c>
      <c r="N114" s="3">
        <v>13</v>
      </c>
      <c r="O114" s="5">
        <f t="shared" si="9"/>
        <v>0.97111111111111115</v>
      </c>
      <c r="P114" s="5">
        <f t="shared" si="10"/>
        <v>0.8495423340961098</v>
      </c>
      <c r="Q114" s="5">
        <f t="shared" si="11"/>
        <v>0.99272727272727268</v>
      </c>
      <c r="R114" s="5">
        <f t="shared" si="12"/>
        <v>0.81899999999999995</v>
      </c>
    </row>
    <row r="115" spans="1:18" x14ac:dyDescent="0.25">
      <c r="A115" s="3">
        <v>111</v>
      </c>
      <c r="B115" s="4">
        <v>46242</v>
      </c>
      <c r="C115" s="3" t="s">
        <v>25</v>
      </c>
      <c r="D115" s="3" t="s">
        <v>23</v>
      </c>
      <c r="E115" s="3" t="s">
        <v>26</v>
      </c>
      <c r="F115" s="3">
        <v>395</v>
      </c>
      <c r="G115" s="3">
        <v>385</v>
      </c>
      <c r="H115" s="3">
        <v>10</v>
      </c>
      <c r="I115" s="5">
        <f t="shared" si="7"/>
        <v>2.5316455696202531E-2</v>
      </c>
      <c r="J115" s="6">
        <f t="shared" si="8"/>
        <v>25316.455696202531</v>
      </c>
      <c r="K115" s="7">
        <v>0.99</v>
      </c>
      <c r="L115" s="3">
        <v>443</v>
      </c>
      <c r="M115" s="3">
        <v>450</v>
      </c>
      <c r="N115" s="3">
        <v>7</v>
      </c>
      <c r="O115" s="5">
        <f t="shared" si="9"/>
        <v>0.98444444444444446</v>
      </c>
      <c r="P115" s="5">
        <f t="shared" si="10"/>
        <v>0.88273137697516935</v>
      </c>
      <c r="Q115" s="5">
        <f t="shared" si="11"/>
        <v>0.97468354430379744</v>
      </c>
      <c r="R115" s="5">
        <f t="shared" si="12"/>
        <v>0.84700000000000009</v>
      </c>
    </row>
    <row r="116" spans="1:18" x14ac:dyDescent="0.25">
      <c r="A116" s="3">
        <v>112</v>
      </c>
      <c r="B116" s="4">
        <v>46242</v>
      </c>
      <c r="C116" s="3" t="s">
        <v>28</v>
      </c>
      <c r="D116" s="3" t="s">
        <v>19</v>
      </c>
      <c r="E116" s="3" t="s">
        <v>20</v>
      </c>
      <c r="F116" s="3">
        <v>515</v>
      </c>
      <c r="G116" s="3">
        <v>505</v>
      </c>
      <c r="H116" s="3">
        <v>10</v>
      </c>
      <c r="I116" s="5">
        <f t="shared" si="7"/>
        <v>1.9417475728155338E-2</v>
      </c>
      <c r="J116" s="6">
        <f t="shared" si="8"/>
        <v>19417.475728155339</v>
      </c>
      <c r="K116" s="7">
        <v>0.76</v>
      </c>
      <c r="L116" s="3">
        <v>420</v>
      </c>
      <c r="M116" s="3">
        <v>450</v>
      </c>
      <c r="N116" s="3">
        <v>30</v>
      </c>
      <c r="O116" s="5">
        <f t="shared" si="9"/>
        <v>0.93333333333333335</v>
      </c>
      <c r="P116" s="5">
        <f t="shared" si="10"/>
        <v>0.9319047619047619</v>
      </c>
      <c r="Q116" s="5">
        <f t="shared" si="11"/>
        <v>0.98058252427184467</v>
      </c>
      <c r="R116" s="5">
        <f t="shared" si="12"/>
        <v>0.85288888888888892</v>
      </c>
    </row>
    <row r="117" spans="1:18" x14ac:dyDescent="0.25">
      <c r="A117" s="3">
        <v>113</v>
      </c>
      <c r="B117" s="4">
        <v>46242</v>
      </c>
      <c r="C117" s="3" t="s">
        <v>28</v>
      </c>
      <c r="D117" s="3" t="s">
        <v>21</v>
      </c>
      <c r="E117" s="3" t="s">
        <v>32</v>
      </c>
      <c r="F117" s="3">
        <v>277</v>
      </c>
      <c r="G117" s="3">
        <v>276</v>
      </c>
      <c r="H117" s="3">
        <v>1</v>
      </c>
      <c r="I117" s="5">
        <f t="shared" si="7"/>
        <v>3.6101083032490976E-3</v>
      </c>
      <c r="J117" s="6">
        <f t="shared" si="8"/>
        <v>3610.1083032490974</v>
      </c>
      <c r="K117" s="7">
        <v>1.29</v>
      </c>
      <c r="L117" s="3">
        <v>444</v>
      </c>
      <c r="M117" s="3">
        <v>450</v>
      </c>
      <c r="N117" s="3">
        <v>6</v>
      </c>
      <c r="O117" s="5">
        <f t="shared" si="9"/>
        <v>0.98666666666666669</v>
      </c>
      <c r="P117" s="5">
        <f t="shared" si="10"/>
        <v>0.80479729729729721</v>
      </c>
      <c r="Q117" s="5">
        <f t="shared" si="11"/>
        <v>0.99638989169675085</v>
      </c>
      <c r="R117" s="5">
        <f t="shared" si="12"/>
        <v>0.7911999999999999</v>
      </c>
    </row>
    <row r="118" spans="1:18" x14ac:dyDescent="0.25">
      <c r="A118" s="3">
        <v>114</v>
      </c>
      <c r="B118" s="4">
        <v>46242</v>
      </c>
      <c r="C118" s="3" t="s">
        <v>28</v>
      </c>
      <c r="D118" s="3" t="s">
        <v>23</v>
      </c>
      <c r="E118" s="3" t="s">
        <v>32</v>
      </c>
      <c r="F118" s="3">
        <v>525</v>
      </c>
      <c r="G118" s="3">
        <v>506</v>
      </c>
      <c r="H118" s="3">
        <v>19</v>
      </c>
      <c r="I118" s="5">
        <f t="shared" si="7"/>
        <v>3.619047619047619E-2</v>
      </c>
      <c r="J118" s="6">
        <f t="shared" si="8"/>
        <v>36190.476190476191</v>
      </c>
      <c r="K118" s="7">
        <v>0.71</v>
      </c>
      <c r="L118" s="3">
        <v>425</v>
      </c>
      <c r="M118" s="3">
        <v>450</v>
      </c>
      <c r="N118" s="3">
        <v>25</v>
      </c>
      <c r="O118" s="5">
        <f t="shared" si="9"/>
        <v>0.94444444444444442</v>
      </c>
      <c r="P118" s="5">
        <f t="shared" si="10"/>
        <v>0.87705882352941178</v>
      </c>
      <c r="Q118" s="5">
        <f t="shared" si="11"/>
        <v>0.96380952380952378</v>
      </c>
      <c r="R118" s="5">
        <f t="shared" si="12"/>
        <v>0.7983555555555556</v>
      </c>
    </row>
    <row r="119" spans="1:18" x14ac:dyDescent="0.25">
      <c r="A119" s="3">
        <v>115</v>
      </c>
      <c r="B119" s="4">
        <v>46242</v>
      </c>
      <c r="C119" s="3" t="s">
        <v>30</v>
      </c>
      <c r="D119" s="3" t="s">
        <v>19</v>
      </c>
      <c r="E119" s="3" t="s">
        <v>35</v>
      </c>
      <c r="F119" s="3">
        <v>423</v>
      </c>
      <c r="G119" s="3">
        <v>411</v>
      </c>
      <c r="H119" s="3">
        <v>12</v>
      </c>
      <c r="I119" s="5">
        <f t="shared" si="7"/>
        <v>2.8368794326241134E-2</v>
      </c>
      <c r="J119" s="6">
        <f t="shared" si="8"/>
        <v>28368.794326241135</v>
      </c>
      <c r="K119" s="7">
        <v>0.9</v>
      </c>
      <c r="L119" s="3">
        <v>418</v>
      </c>
      <c r="M119" s="3">
        <v>450</v>
      </c>
      <c r="N119" s="3">
        <v>32</v>
      </c>
      <c r="O119" s="5">
        <f t="shared" si="9"/>
        <v>0.92888888888888888</v>
      </c>
      <c r="P119" s="5">
        <f t="shared" si="10"/>
        <v>0.91076555023923444</v>
      </c>
      <c r="Q119" s="5">
        <f t="shared" si="11"/>
        <v>0.97163120567375882</v>
      </c>
      <c r="R119" s="5">
        <f t="shared" si="12"/>
        <v>0.82199999999999995</v>
      </c>
    </row>
    <row r="120" spans="1:18" x14ac:dyDescent="0.25">
      <c r="A120" s="3">
        <v>116</v>
      </c>
      <c r="B120" s="4">
        <v>46242</v>
      </c>
      <c r="C120" s="3" t="s">
        <v>30</v>
      </c>
      <c r="D120" s="3" t="s">
        <v>21</v>
      </c>
      <c r="E120" s="3" t="s">
        <v>29</v>
      </c>
      <c r="F120" s="3">
        <v>927</v>
      </c>
      <c r="G120" s="3">
        <v>908</v>
      </c>
      <c r="H120" s="3">
        <v>19</v>
      </c>
      <c r="I120" s="5">
        <f t="shared" si="7"/>
        <v>2.0496224379719527E-2</v>
      </c>
      <c r="J120" s="6">
        <f t="shared" si="8"/>
        <v>20496.224379719526</v>
      </c>
      <c r="K120" s="7">
        <v>0.38</v>
      </c>
      <c r="L120" s="3">
        <v>407</v>
      </c>
      <c r="M120" s="3">
        <v>450</v>
      </c>
      <c r="N120" s="3">
        <v>43</v>
      </c>
      <c r="O120" s="5">
        <f t="shared" si="9"/>
        <v>0.9044444444444445</v>
      </c>
      <c r="P120" s="5">
        <f t="shared" si="10"/>
        <v>0.8655036855036855</v>
      </c>
      <c r="Q120" s="5">
        <f t="shared" si="11"/>
        <v>0.97950377562028046</v>
      </c>
      <c r="R120" s="5">
        <f t="shared" si="12"/>
        <v>0.76675555555555563</v>
      </c>
    </row>
    <row r="121" spans="1:18" x14ac:dyDescent="0.25">
      <c r="A121" s="3">
        <v>117</v>
      </c>
      <c r="B121" s="4">
        <v>46242</v>
      </c>
      <c r="C121" s="3" t="s">
        <v>30</v>
      </c>
      <c r="D121" s="3" t="s">
        <v>23</v>
      </c>
      <c r="E121" s="3" t="s">
        <v>34</v>
      </c>
      <c r="F121" s="3">
        <v>807</v>
      </c>
      <c r="G121" s="3">
        <v>773</v>
      </c>
      <c r="H121" s="3">
        <v>34</v>
      </c>
      <c r="I121" s="5">
        <f t="shared" si="7"/>
        <v>4.2131350681536554E-2</v>
      </c>
      <c r="J121" s="6">
        <f t="shared" si="8"/>
        <v>42131.350681536554</v>
      </c>
      <c r="K121" s="7">
        <v>0.5</v>
      </c>
      <c r="L121" s="3">
        <v>414</v>
      </c>
      <c r="M121" s="3">
        <v>450</v>
      </c>
      <c r="N121" s="3">
        <v>36</v>
      </c>
      <c r="O121" s="5">
        <f t="shared" si="9"/>
        <v>0.92</v>
      </c>
      <c r="P121" s="5">
        <f t="shared" si="10"/>
        <v>0.97463768115942029</v>
      </c>
      <c r="Q121" s="5">
        <f t="shared" si="11"/>
        <v>0.95786864931846349</v>
      </c>
      <c r="R121" s="5">
        <f t="shared" si="12"/>
        <v>0.85888888888888903</v>
      </c>
    </row>
    <row r="122" spans="1:18" x14ac:dyDescent="0.25">
      <c r="A122" s="3">
        <v>118</v>
      </c>
      <c r="B122" s="4">
        <v>46242</v>
      </c>
      <c r="C122" s="3" t="s">
        <v>33</v>
      </c>
      <c r="D122" s="3" t="s">
        <v>19</v>
      </c>
      <c r="E122" s="3" t="s">
        <v>32</v>
      </c>
      <c r="F122" s="3">
        <v>986</v>
      </c>
      <c r="G122" s="3">
        <v>971</v>
      </c>
      <c r="H122" s="3">
        <v>15</v>
      </c>
      <c r="I122" s="5">
        <f t="shared" si="7"/>
        <v>1.5212981744421906E-2</v>
      </c>
      <c r="J122" s="6">
        <f t="shared" si="8"/>
        <v>15212.981744421906</v>
      </c>
      <c r="K122" s="7">
        <v>0.38</v>
      </c>
      <c r="L122" s="3">
        <v>386</v>
      </c>
      <c r="M122" s="3">
        <v>450</v>
      </c>
      <c r="N122" s="3">
        <v>64</v>
      </c>
      <c r="O122" s="5">
        <f t="shared" si="9"/>
        <v>0.85777777777777775</v>
      </c>
      <c r="P122" s="5">
        <f t="shared" si="10"/>
        <v>0.97067357512953367</v>
      </c>
      <c r="Q122" s="5">
        <f t="shared" si="11"/>
        <v>0.98478701825557813</v>
      </c>
      <c r="R122" s="5">
        <f t="shared" si="12"/>
        <v>0.81995555555555555</v>
      </c>
    </row>
    <row r="123" spans="1:18" x14ac:dyDescent="0.25">
      <c r="A123" s="3">
        <v>119</v>
      </c>
      <c r="B123" s="4">
        <v>46242</v>
      </c>
      <c r="C123" s="3" t="s">
        <v>33</v>
      </c>
      <c r="D123" s="3" t="s">
        <v>21</v>
      </c>
      <c r="E123" s="3" t="s">
        <v>22</v>
      </c>
      <c r="F123" s="3">
        <v>257</v>
      </c>
      <c r="G123" s="3">
        <v>246</v>
      </c>
      <c r="H123" s="3">
        <v>11</v>
      </c>
      <c r="I123" s="5">
        <f t="shared" si="7"/>
        <v>4.2801556420233464E-2</v>
      </c>
      <c r="J123" s="6">
        <f t="shared" si="8"/>
        <v>42801.556420233464</v>
      </c>
      <c r="K123" s="7">
        <v>1.49</v>
      </c>
      <c r="L123" s="3">
        <v>409</v>
      </c>
      <c r="M123" s="3">
        <v>450</v>
      </c>
      <c r="N123" s="3">
        <v>41</v>
      </c>
      <c r="O123" s="5">
        <f t="shared" si="9"/>
        <v>0.90888888888888886</v>
      </c>
      <c r="P123" s="5">
        <f t="shared" si="10"/>
        <v>0.93625916870415649</v>
      </c>
      <c r="Q123" s="5">
        <f t="shared" si="11"/>
        <v>0.95719844357976658</v>
      </c>
      <c r="R123" s="5">
        <f t="shared" si="12"/>
        <v>0.81453333333333344</v>
      </c>
    </row>
    <row r="124" spans="1:18" x14ac:dyDescent="0.25">
      <c r="A124" s="3">
        <v>120</v>
      </c>
      <c r="B124" s="4">
        <v>46242</v>
      </c>
      <c r="C124" s="3" t="s">
        <v>33</v>
      </c>
      <c r="D124" s="3" t="s">
        <v>23</v>
      </c>
      <c r="E124" s="3" t="s">
        <v>26</v>
      </c>
      <c r="F124" s="3">
        <v>201</v>
      </c>
      <c r="G124" s="3">
        <v>196</v>
      </c>
      <c r="H124" s="3">
        <v>5</v>
      </c>
      <c r="I124" s="5">
        <f t="shared" si="7"/>
        <v>2.4875621890547265E-2</v>
      </c>
      <c r="J124" s="6">
        <f t="shared" si="8"/>
        <v>24875.621890547263</v>
      </c>
      <c r="K124" s="7">
        <v>1.77</v>
      </c>
      <c r="L124" s="3">
        <v>401</v>
      </c>
      <c r="M124" s="3">
        <v>450</v>
      </c>
      <c r="N124" s="3">
        <v>49</v>
      </c>
      <c r="O124" s="5">
        <f t="shared" si="9"/>
        <v>0.89111111111111108</v>
      </c>
      <c r="P124" s="5">
        <f t="shared" si="10"/>
        <v>0.88720698254364083</v>
      </c>
      <c r="Q124" s="5">
        <f t="shared" si="11"/>
        <v>0.97512437810945274</v>
      </c>
      <c r="R124" s="5">
        <f t="shared" si="12"/>
        <v>0.77093333333333325</v>
      </c>
    </row>
    <row r="125" spans="1:18" x14ac:dyDescent="0.25">
      <c r="A125" s="3">
        <v>121</v>
      </c>
      <c r="B125" s="4">
        <v>46243</v>
      </c>
      <c r="C125" s="3" t="s">
        <v>18</v>
      </c>
      <c r="D125" s="3" t="s">
        <v>19</v>
      </c>
      <c r="E125" s="3" t="s">
        <v>32</v>
      </c>
      <c r="F125" s="3">
        <v>683</v>
      </c>
      <c r="G125" s="3">
        <v>653</v>
      </c>
      <c r="H125" s="3">
        <v>30</v>
      </c>
      <c r="I125" s="5">
        <f t="shared" si="7"/>
        <v>4.3923865300146414E-2</v>
      </c>
      <c r="J125" s="6">
        <f t="shared" si="8"/>
        <v>43923.865300146412</v>
      </c>
      <c r="K125" s="7">
        <v>0.56000000000000005</v>
      </c>
      <c r="L125" s="3">
        <v>443</v>
      </c>
      <c r="M125" s="3">
        <v>450</v>
      </c>
      <c r="N125" s="3">
        <v>7</v>
      </c>
      <c r="O125" s="5">
        <f t="shared" si="9"/>
        <v>0.98444444444444446</v>
      </c>
      <c r="P125" s="5">
        <f t="shared" si="10"/>
        <v>0.86338600451467273</v>
      </c>
      <c r="Q125" s="5">
        <f t="shared" si="11"/>
        <v>0.95607613469985364</v>
      </c>
      <c r="R125" s="5">
        <f t="shared" si="12"/>
        <v>0.81262222222222225</v>
      </c>
    </row>
    <row r="126" spans="1:18" x14ac:dyDescent="0.25">
      <c r="A126" s="3">
        <v>122</v>
      </c>
      <c r="B126" s="4">
        <v>46243</v>
      </c>
      <c r="C126" s="3" t="s">
        <v>18</v>
      </c>
      <c r="D126" s="3" t="s">
        <v>21</v>
      </c>
      <c r="E126" s="3" t="s">
        <v>32</v>
      </c>
      <c r="F126" s="3">
        <v>1180</v>
      </c>
      <c r="G126" s="3">
        <v>1160</v>
      </c>
      <c r="H126" s="3">
        <v>20</v>
      </c>
      <c r="I126" s="5">
        <f t="shared" si="7"/>
        <v>1.6949152542372881E-2</v>
      </c>
      <c r="J126" s="6">
        <f t="shared" si="8"/>
        <v>16949.152542372882</v>
      </c>
      <c r="K126" s="7">
        <v>0.37</v>
      </c>
      <c r="L126" s="3">
        <v>441</v>
      </c>
      <c r="M126" s="3">
        <v>450</v>
      </c>
      <c r="N126" s="3">
        <v>9</v>
      </c>
      <c r="O126" s="5">
        <f t="shared" si="9"/>
        <v>0.98</v>
      </c>
      <c r="P126" s="5">
        <f t="shared" si="10"/>
        <v>0.99002267573696145</v>
      </c>
      <c r="Q126" s="5">
        <f t="shared" si="11"/>
        <v>0.98305084745762716</v>
      </c>
      <c r="R126" s="5">
        <f t="shared" si="12"/>
        <v>0.95377777777777784</v>
      </c>
    </row>
    <row r="127" spans="1:18" x14ac:dyDescent="0.25">
      <c r="A127" s="3">
        <v>123</v>
      </c>
      <c r="B127" s="4">
        <v>46243</v>
      </c>
      <c r="C127" s="3" t="s">
        <v>18</v>
      </c>
      <c r="D127" s="3" t="s">
        <v>23</v>
      </c>
      <c r="E127" s="3" t="s">
        <v>31</v>
      </c>
      <c r="F127" s="3">
        <v>407</v>
      </c>
      <c r="G127" s="3">
        <v>398</v>
      </c>
      <c r="H127" s="3">
        <v>9</v>
      </c>
      <c r="I127" s="5">
        <f t="shared" si="7"/>
        <v>2.2113022113022112E-2</v>
      </c>
      <c r="J127" s="6">
        <f t="shared" si="8"/>
        <v>22113.022113022111</v>
      </c>
      <c r="K127" s="7">
        <v>1.05</v>
      </c>
      <c r="L127" s="3">
        <v>418</v>
      </c>
      <c r="M127" s="3">
        <v>450</v>
      </c>
      <c r="N127" s="3">
        <v>32</v>
      </c>
      <c r="O127" s="5">
        <f t="shared" si="9"/>
        <v>0.92888888888888888</v>
      </c>
      <c r="P127" s="5">
        <f t="shared" si="10"/>
        <v>1.0223684210526316</v>
      </c>
      <c r="Q127" s="5">
        <f t="shared" si="11"/>
        <v>0.97788697788697787</v>
      </c>
      <c r="R127" s="5">
        <f t="shared" si="12"/>
        <v>0.92866666666666664</v>
      </c>
    </row>
    <row r="128" spans="1:18" x14ac:dyDescent="0.25">
      <c r="A128" s="3">
        <v>124</v>
      </c>
      <c r="B128" s="4">
        <v>46243</v>
      </c>
      <c r="C128" s="3" t="s">
        <v>25</v>
      </c>
      <c r="D128" s="3" t="s">
        <v>19</v>
      </c>
      <c r="E128" s="3" t="s">
        <v>22</v>
      </c>
      <c r="F128" s="3">
        <v>814</v>
      </c>
      <c r="G128" s="3">
        <v>802</v>
      </c>
      <c r="H128" s="3">
        <v>12</v>
      </c>
      <c r="I128" s="5">
        <f t="shared" si="7"/>
        <v>1.4742014742014743E-2</v>
      </c>
      <c r="J128" s="6">
        <f t="shared" si="8"/>
        <v>14742.014742014742</v>
      </c>
      <c r="K128" s="7">
        <v>0.54</v>
      </c>
      <c r="L128" s="3">
        <v>433</v>
      </c>
      <c r="M128" s="3">
        <v>450</v>
      </c>
      <c r="N128" s="3">
        <v>17</v>
      </c>
      <c r="O128" s="5">
        <f t="shared" si="9"/>
        <v>0.9622222222222222</v>
      </c>
      <c r="P128" s="5">
        <f t="shared" si="10"/>
        <v>1.015150115473441</v>
      </c>
      <c r="Q128" s="5">
        <f t="shared" si="11"/>
        <v>0.98525798525798525</v>
      </c>
      <c r="R128" s="5">
        <f t="shared" si="12"/>
        <v>0.96239999999999992</v>
      </c>
    </row>
    <row r="129" spans="1:18" x14ac:dyDescent="0.25">
      <c r="A129" s="3">
        <v>125</v>
      </c>
      <c r="B129" s="4">
        <v>46243</v>
      </c>
      <c r="C129" s="3" t="s">
        <v>25</v>
      </c>
      <c r="D129" s="3" t="s">
        <v>21</v>
      </c>
      <c r="E129" s="3" t="s">
        <v>31</v>
      </c>
      <c r="F129" s="3">
        <v>328</v>
      </c>
      <c r="G129" s="3">
        <v>321</v>
      </c>
      <c r="H129" s="3">
        <v>7</v>
      </c>
      <c r="I129" s="5">
        <f t="shared" si="7"/>
        <v>2.1341463414634148E-2</v>
      </c>
      <c r="J129" s="6">
        <f t="shared" si="8"/>
        <v>21341.463414634149</v>
      </c>
      <c r="K129" s="7">
        <v>1.08</v>
      </c>
      <c r="L129" s="3">
        <v>442</v>
      </c>
      <c r="M129" s="3">
        <v>450</v>
      </c>
      <c r="N129" s="3">
        <v>8</v>
      </c>
      <c r="O129" s="5">
        <f t="shared" si="9"/>
        <v>0.98222222222222222</v>
      </c>
      <c r="P129" s="5">
        <f t="shared" si="10"/>
        <v>0.80144796380090499</v>
      </c>
      <c r="Q129" s="5">
        <f t="shared" si="11"/>
        <v>0.97865853658536583</v>
      </c>
      <c r="R129" s="5">
        <f t="shared" si="12"/>
        <v>0.77039999999999997</v>
      </c>
    </row>
    <row r="130" spans="1:18" x14ac:dyDescent="0.25">
      <c r="A130" s="3">
        <v>126</v>
      </c>
      <c r="B130" s="4">
        <v>46243</v>
      </c>
      <c r="C130" s="3" t="s">
        <v>25</v>
      </c>
      <c r="D130" s="3" t="s">
        <v>23</v>
      </c>
      <c r="E130" s="3" t="s">
        <v>32</v>
      </c>
      <c r="F130" s="3">
        <v>241</v>
      </c>
      <c r="G130" s="3">
        <v>238</v>
      </c>
      <c r="H130" s="3">
        <v>3</v>
      </c>
      <c r="I130" s="5">
        <f t="shared" si="7"/>
        <v>1.2448132780082987E-2</v>
      </c>
      <c r="J130" s="6">
        <f t="shared" si="8"/>
        <v>12448.132780082986</v>
      </c>
      <c r="K130" s="7">
        <v>1.7</v>
      </c>
      <c r="L130" s="3">
        <v>401</v>
      </c>
      <c r="M130" s="3">
        <v>450</v>
      </c>
      <c r="N130" s="3">
        <v>49</v>
      </c>
      <c r="O130" s="5">
        <f t="shared" si="9"/>
        <v>0.89111111111111108</v>
      </c>
      <c r="P130" s="5">
        <f t="shared" si="10"/>
        <v>1.0216957605985038</v>
      </c>
      <c r="Q130" s="5">
        <f t="shared" si="11"/>
        <v>0.98755186721991706</v>
      </c>
      <c r="R130" s="5">
        <f t="shared" si="12"/>
        <v>0.89911111111111108</v>
      </c>
    </row>
    <row r="131" spans="1:18" x14ac:dyDescent="0.25">
      <c r="A131" s="3">
        <v>127</v>
      </c>
      <c r="B131" s="4">
        <v>46243</v>
      </c>
      <c r="C131" s="3" t="s">
        <v>28</v>
      </c>
      <c r="D131" s="3" t="s">
        <v>19</v>
      </c>
      <c r="E131" s="3" t="s">
        <v>34</v>
      </c>
      <c r="F131" s="3">
        <v>382</v>
      </c>
      <c r="G131" s="3">
        <v>374</v>
      </c>
      <c r="H131" s="3">
        <v>8</v>
      </c>
      <c r="I131" s="5">
        <f t="shared" si="7"/>
        <v>2.0942408376963352E-2</v>
      </c>
      <c r="J131" s="6">
        <f t="shared" si="8"/>
        <v>20942.408376963351</v>
      </c>
      <c r="K131" s="7">
        <v>1.08</v>
      </c>
      <c r="L131" s="3">
        <v>415</v>
      </c>
      <c r="M131" s="3">
        <v>450</v>
      </c>
      <c r="N131" s="3">
        <v>35</v>
      </c>
      <c r="O131" s="5">
        <f t="shared" si="9"/>
        <v>0.92222222222222228</v>
      </c>
      <c r="P131" s="5">
        <f t="shared" si="10"/>
        <v>0.99412048192771085</v>
      </c>
      <c r="Q131" s="5">
        <f t="shared" si="11"/>
        <v>0.97905759162303663</v>
      </c>
      <c r="R131" s="5">
        <f t="shared" si="12"/>
        <v>0.89760000000000006</v>
      </c>
    </row>
    <row r="132" spans="1:18" x14ac:dyDescent="0.25">
      <c r="A132" s="3">
        <v>128</v>
      </c>
      <c r="B132" s="4">
        <v>46243</v>
      </c>
      <c r="C132" s="3" t="s">
        <v>28</v>
      </c>
      <c r="D132" s="3" t="s">
        <v>21</v>
      </c>
      <c r="E132" s="3" t="s">
        <v>22</v>
      </c>
      <c r="F132" s="3">
        <v>484</v>
      </c>
      <c r="G132" s="3">
        <v>472</v>
      </c>
      <c r="H132" s="3">
        <v>12</v>
      </c>
      <c r="I132" s="5">
        <f t="shared" si="7"/>
        <v>2.4793388429752067E-2</v>
      </c>
      <c r="J132" s="6">
        <f t="shared" si="8"/>
        <v>24793.388429752067</v>
      </c>
      <c r="K132" s="7">
        <v>0.76</v>
      </c>
      <c r="L132" s="3">
        <v>420</v>
      </c>
      <c r="M132" s="3">
        <v>450</v>
      </c>
      <c r="N132" s="3">
        <v>30</v>
      </c>
      <c r="O132" s="5">
        <f t="shared" si="9"/>
        <v>0.93333333333333335</v>
      </c>
      <c r="P132" s="5">
        <f t="shared" si="10"/>
        <v>0.87580952380952393</v>
      </c>
      <c r="Q132" s="5">
        <f t="shared" si="11"/>
        <v>0.97520661157024791</v>
      </c>
      <c r="R132" s="5">
        <f t="shared" si="12"/>
        <v>0.79715555555555573</v>
      </c>
    </row>
    <row r="133" spans="1:18" x14ac:dyDescent="0.25">
      <c r="A133" s="3">
        <v>129</v>
      </c>
      <c r="B133" s="4">
        <v>46243</v>
      </c>
      <c r="C133" s="3" t="s">
        <v>28</v>
      </c>
      <c r="D133" s="3" t="s">
        <v>23</v>
      </c>
      <c r="E133" s="3" t="s">
        <v>35</v>
      </c>
      <c r="F133" s="3">
        <v>183</v>
      </c>
      <c r="G133" s="3">
        <v>180</v>
      </c>
      <c r="H133" s="3">
        <v>3</v>
      </c>
      <c r="I133" s="5">
        <f t="shared" ref="I133:I196" si="13">IFERROR(H133/F133,0)</f>
        <v>1.6393442622950821E-2</v>
      </c>
      <c r="J133" s="6">
        <f t="shared" ref="J133:J196" si="14">I133*1000000</f>
        <v>16393.442622950821</v>
      </c>
      <c r="K133" s="7">
        <v>1.77</v>
      </c>
      <c r="L133" s="3">
        <v>393</v>
      </c>
      <c r="M133" s="3">
        <v>450</v>
      </c>
      <c r="N133" s="3">
        <v>57</v>
      </c>
      <c r="O133" s="5">
        <f t="shared" ref="O133:O196" si="15">IFERROR(L133/M133,0)</f>
        <v>0.87333333333333329</v>
      </c>
      <c r="P133" s="5">
        <f t="shared" ref="P133:P196" si="16">IFERROR(F133*K133/L133,0)</f>
        <v>0.82419847328244278</v>
      </c>
      <c r="Q133" s="5">
        <f t="shared" ref="Q133:Q196" si="17">IFERROR(G133/F133,0)</f>
        <v>0.98360655737704916</v>
      </c>
      <c r="R133" s="5">
        <f t="shared" ref="R133:R196" si="18">O133*P133*Q133</f>
        <v>0.70799999999999996</v>
      </c>
    </row>
    <row r="134" spans="1:18" x14ac:dyDescent="0.25">
      <c r="A134" s="3">
        <v>130</v>
      </c>
      <c r="B134" s="4">
        <v>46243</v>
      </c>
      <c r="C134" s="3" t="s">
        <v>30</v>
      </c>
      <c r="D134" s="3" t="s">
        <v>19</v>
      </c>
      <c r="E134" s="3" t="s">
        <v>24</v>
      </c>
      <c r="F134" s="3">
        <v>873</v>
      </c>
      <c r="G134" s="3">
        <v>845</v>
      </c>
      <c r="H134" s="3">
        <v>28</v>
      </c>
      <c r="I134" s="5">
        <f t="shared" si="13"/>
        <v>3.2073310423825885E-2</v>
      </c>
      <c r="J134" s="6">
        <f t="shared" si="14"/>
        <v>32073.310423825886</v>
      </c>
      <c r="K134" s="7">
        <v>0.4</v>
      </c>
      <c r="L134" s="3">
        <v>421</v>
      </c>
      <c r="M134" s="3">
        <v>450</v>
      </c>
      <c r="N134" s="3">
        <v>29</v>
      </c>
      <c r="O134" s="5">
        <f t="shared" si="15"/>
        <v>0.93555555555555558</v>
      </c>
      <c r="P134" s="5">
        <f t="shared" si="16"/>
        <v>0.82945368171021383</v>
      </c>
      <c r="Q134" s="5">
        <f t="shared" si="17"/>
        <v>0.96792668957617412</v>
      </c>
      <c r="R134" s="5">
        <f t="shared" si="18"/>
        <v>0.75111111111111117</v>
      </c>
    </row>
    <row r="135" spans="1:18" x14ac:dyDescent="0.25">
      <c r="A135" s="3">
        <v>131</v>
      </c>
      <c r="B135" s="4">
        <v>46243</v>
      </c>
      <c r="C135" s="3" t="s">
        <v>30</v>
      </c>
      <c r="D135" s="3" t="s">
        <v>21</v>
      </c>
      <c r="E135" s="3" t="s">
        <v>32</v>
      </c>
      <c r="F135" s="3">
        <v>656</v>
      </c>
      <c r="G135" s="3">
        <v>647</v>
      </c>
      <c r="H135" s="3">
        <v>9</v>
      </c>
      <c r="I135" s="5">
        <f t="shared" si="13"/>
        <v>1.3719512195121951E-2</v>
      </c>
      <c r="J135" s="6">
        <f t="shared" si="14"/>
        <v>13719.512195121952</v>
      </c>
      <c r="K135" s="7">
        <v>0.61</v>
      </c>
      <c r="L135" s="3">
        <v>422</v>
      </c>
      <c r="M135" s="3">
        <v>450</v>
      </c>
      <c r="N135" s="3">
        <v>28</v>
      </c>
      <c r="O135" s="5">
        <f t="shared" si="15"/>
        <v>0.93777777777777782</v>
      </c>
      <c r="P135" s="5">
        <f t="shared" si="16"/>
        <v>0.94824644549763026</v>
      </c>
      <c r="Q135" s="5">
        <f t="shared" si="17"/>
        <v>0.98628048780487809</v>
      </c>
      <c r="R135" s="5">
        <f t="shared" si="18"/>
        <v>0.8770444444444444</v>
      </c>
    </row>
    <row r="136" spans="1:18" x14ac:dyDescent="0.25">
      <c r="A136" s="3">
        <v>132</v>
      </c>
      <c r="B136" s="4">
        <v>46243</v>
      </c>
      <c r="C136" s="3" t="s">
        <v>30</v>
      </c>
      <c r="D136" s="3" t="s">
        <v>23</v>
      </c>
      <c r="E136" s="3" t="s">
        <v>32</v>
      </c>
      <c r="F136" s="3">
        <v>464</v>
      </c>
      <c r="G136" s="3">
        <v>454</v>
      </c>
      <c r="H136" s="3">
        <v>10</v>
      </c>
      <c r="I136" s="5">
        <f t="shared" si="13"/>
        <v>2.1551724137931036E-2</v>
      </c>
      <c r="J136" s="6">
        <f t="shared" si="14"/>
        <v>21551.724137931036</v>
      </c>
      <c r="K136" s="7">
        <v>0.87</v>
      </c>
      <c r="L136" s="3">
        <v>421</v>
      </c>
      <c r="M136" s="3">
        <v>450</v>
      </c>
      <c r="N136" s="3">
        <v>29</v>
      </c>
      <c r="O136" s="5">
        <f t="shared" si="15"/>
        <v>0.93555555555555558</v>
      </c>
      <c r="P136" s="5">
        <f t="shared" si="16"/>
        <v>0.95885985748218527</v>
      </c>
      <c r="Q136" s="5">
        <f t="shared" si="17"/>
        <v>0.97844827586206895</v>
      </c>
      <c r="R136" s="5">
        <f t="shared" si="18"/>
        <v>0.87773333333333337</v>
      </c>
    </row>
    <row r="137" spans="1:18" x14ac:dyDescent="0.25">
      <c r="A137" s="3">
        <v>133</v>
      </c>
      <c r="B137" s="4">
        <v>46243</v>
      </c>
      <c r="C137" s="3" t="s">
        <v>33</v>
      </c>
      <c r="D137" s="3" t="s">
        <v>19</v>
      </c>
      <c r="E137" s="3" t="s">
        <v>29</v>
      </c>
      <c r="F137" s="3">
        <v>484</v>
      </c>
      <c r="G137" s="3">
        <v>471</v>
      </c>
      <c r="H137" s="3">
        <v>13</v>
      </c>
      <c r="I137" s="5">
        <f t="shared" si="13"/>
        <v>2.6859504132231406E-2</v>
      </c>
      <c r="J137" s="6">
        <f t="shared" si="14"/>
        <v>26859.504132231406</v>
      </c>
      <c r="K137" s="7">
        <v>0.87</v>
      </c>
      <c r="L137" s="3">
        <v>424</v>
      </c>
      <c r="M137" s="3">
        <v>450</v>
      </c>
      <c r="N137" s="3">
        <v>26</v>
      </c>
      <c r="O137" s="5">
        <f t="shared" si="15"/>
        <v>0.94222222222222218</v>
      </c>
      <c r="P137" s="5">
        <f t="shared" si="16"/>
        <v>0.99311320754716981</v>
      </c>
      <c r="Q137" s="5">
        <f t="shared" si="17"/>
        <v>0.97314049586776863</v>
      </c>
      <c r="R137" s="5">
        <f t="shared" si="18"/>
        <v>0.91059999999999997</v>
      </c>
    </row>
    <row r="138" spans="1:18" x14ac:dyDescent="0.25">
      <c r="A138" s="3">
        <v>134</v>
      </c>
      <c r="B138" s="4">
        <v>46243</v>
      </c>
      <c r="C138" s="3" t="s">
        <v>33</v>
      </c>
      <c r="D138" s="3" t="s">
        <v>21</v>
      </c>
      <c r="E138" s="3" t="s">
        <v>29</v>
      </c>
      <c r="F138" s="3">
        <v>581</v>
      </c>
      <c r="G138" s="3">
        <v>578</v>
      </c>
      <c r="H138" s="3">
        <v>3</v>
      </c>
      <c r="I138" s="5">
        <f t="shared" si="13"/>
        <v>5.1635111876075735E-3</v>
      </c>
      <c r="J138" s="6">
        <f t="shared" si="14"/>
        <v>5163.5111876075734</v>
      </c>
      <c r="K138" s="7">
        <v>0.66</v>
      </c>
      <c r="L138" s="3">
        <v>443</v>
      </c>
      <c r="M138" s="3">
        <v>450</v>
      </c>
      <c r="N138" s="3">
        <v>7</v>
      </c>
      <c r="O138" s="5">
        <f t="shared" si="15"/>
        <v>0.98444444444444446</v>
      </c>
      <c r="P138" s="5">
        <f t="shared" si="16"/>
        <v>0.86559819413092554</v>
      </c>
      <c r="Q138" s="5">
        <f t="shared" si="17"/>
        <v>0.99483648881239239</v>
      </c>
      <c r="R138" s="5">
        <f t="shared" si="18"/>
        <v>0.84773333333333334</v>
      </c>
    </row>
    <row r="139" spans="1:18" x14ac:dyDescent="0.25">
      <c r="A139" s="3">
        <v>135</v>
      </c>
      <c r="B139" s="4">
        <v>46243</v>
      </c>
      <c r="C139" s="3" t="s">
        <v>33</v>
      </c>
      <c r="D139" s="3" t="s">
        <v>23</v>
      </c>
      <c r="E139" s="3" t="s">
        <v>31</v>
      </c>
      <c r="F139" s="3">
        <v>296</v>
      </c>
      <c r="G139" s="3">
        <v>292</v>
      </c>
      <c r="H139" s="3">
        <v>4</v>
      </c>
      <c r="I139" s="5">
        <f t="shared" si="13"/>
        <v>1.3513513513513514E-2</v>
      </c>
      <c r="J139" s="6">
        <f t="shared" si="14"/>
        <v>13513.513513513515</v>
      </c>
      <c r="K139" s="7">
        <v>1.07</v>
      </c>
      <c r="L139" s="3">
        <v>391</v>
      </c>
      <c r="M139" s="3">
        <v>450</v>
      </c>
      <c r="N139" s="3">
        <v>59</v>
      </c>
      <c r="O139" s="5">
        <f t="shared" si="15"/>
        <v>0.86888888888888893</v>
      </c>
      <c r="P139" s="5">
        <f t="shared" si="16"/>
        <v>0.81002557544757037</v>
      </c>
      <c r="Q139" s="5">
        <f t="shared" si="17"/>
        <v>0.98648648648648651</v>
      </c>
      <c r="R139" s="5">
        <f t="shared" si="18"/>
        <v>0.6943111111111111</v>
      </c>
    </row>
    <row r="140" spans="1:18" x14ac:dyDescent="0.25">
      <c r="A140" s="3">
        <v>136</v>
      </c>
      <c r="B140" s="4">
        <v>46244</v>
      </c>
      <c r="C140" s="3" t="s">
        <v>18</v>
      </c>
      <c r="D140" s="3" t="s">
        <v>19</v>
      </c>
      <c r="E140" s="3" t="s">
        <v>26</v>
      </c>
      <c r="F140" s="3">
        <v>291</v>
      </c>
      <c r="G140" s="3">
        <v>279</v>
      </c>
      <c r="H140" s="3">
        <v>12</v>
      </c>
      <c r="I140" s="5">
        <f t="shared" si="13"/>
        <v>4.1237113402061855E-2</v>
      </c>
      <c r="J140" s="6">
        <f t="shared" si="14"/>
        <v>41237.113402061856</v>
      </c>
      <c r="K140" s="7">
        <v>1.43</v>
      </c>
      <c r="L140" s="3">
        <v>425</v>
      </c>
      <c r="M140" s="3">
        <v>450</v>
      </c>
      <c r="N140" s="3">
        <v>25</v>
      </c>
      <c r="O140" s="5">
        <f t="shared" si="15"/>
        <v>0.94444444444444442</v>
      </c>
      <c r="P140" s="5">
        <f t="shared" si="16"/>
        <v>0.97912941176470591</v>
      </c>
      <c r="Q140" s="5">
        <f t="shared" si="17"/>
        <v>0.95876288659793818</v>
      </c>
      <c r="R140" s="5">
        <f t="shared" si="18"/>
        <v>0.88659999999999994</v>
      </c>
    </row>
    <row r="141" spans="1:18" x14ac:dyDescent="0.25">
      <c r="A141" s="3">
        <v>137</v>
      </c>
      <c r="B141" s="4">
        <v>46244</v>
      </c>
      <c r="C141" s="3" t="s">
        <v>18</v>
      </c>
      <c r="D141" s="3" t="s">
        <v>21</v>
      </c>
      <c r="E141" s="3" t="s">
        <v>34</v>
      </c>
      <c r="F141" s="3">
        <v>340</v>
      </c>
      <c r="G141" s="3">
        <v>329</v>
      </c>
      <c r="H141" s="3">
        <v>11</v>
      </c>
      <c r="I141" s="5">
        <f t="shared" si="13"/>
        <v>3.2352941176470591E-2</v>
      </c>
      <c r="J141" s="6">
        <f t="shared" si="14"/>
        <v>32352.941176470591</v>
      </c>
      <c r="K141" s="7">
        <v>1.23</v>
      </c>
      <c r="L141" s="3">
        <v>438</v>
      </c>
      <c r="M141" s="3">
        <v>450</v>
      </c>
      <c r="N141" s="3">
        <v>12</v>
      </c>
      <c r="O141" s="5">
        <f t="shared" si="15"/>
        <v>0.97333333333333338</v>
      </c>
      <c r="P141" s="5">
        <f t="shared" si="16"/>
        <v>0.95479452054794522</v>
      </c>
      <c r="Q141" s="5">
        <f t="shared" si="17"/>
        <v>0.96764705882352942</v>
      </c>
      <c r="R141" s="5">
        <f t="shared" si="18"/>
        <v>0.89926666666666666</v>
      </c>
    </row>
    <row r="142" spans="1:18" x14ac:dyDescent="0.25">
      <c r="A142" s="3">
        <v>138</v>
      </c>
      <c r="B142" s="4">
        <v>46244</v>
      </c>
      <c r="C142" s="3" t="s">
        <v>18</v>
      </c>
      <c r="D142" s="3" t="s">
        <v>23</v>
      </c>
      <c r="E142" s="3" t="s">
        <v>26</v>
      </c>
      <c r="F142" s="3">
        <v>190</v>
      </c>
      <c r="G142" s="3">
        <v>185</v>
      </c>
      <c r="H142" s="3">
        <v>5</v>
      </c>
      <c r="I142" s="5">
        <f t="shared" si="13"/>
        <v>2.6315789473684209E-2</v>
      </c>
      <c r="J142" s="6">
        <f t="shared" si="14"/>
        <v>26315.78947368421</v>
      </c>
      <c r="K142" s="7">
        <v>1.79</v>
      </c>
      <c r="L142" s="3">
        <v>416</v>
      </c>
      <c r="M142" s="3">
        <v>450</v>
      </c>
      <c r="N142" s="3">
        <v>34</v>
      </c>
      <c r="O142" s="5">
        <f t="shared" si="15"/>
        <v>0.9244444444444444</v>
      </c>
      <c r="P142" s="5">
        <f t="shared" si="16"/>
        <v>0.81754807692307696</v>
      </c>
      <c r="Q142" s="5">
        <f t="shared" si="17"/>
        <v>0.97368421052631582</v>
      </c>
      <c r="R142" s="5">
        <f t="shared" si="18"/>
        <v>0.73588888888888893</v>
      </c>
    </row>
    <row r="143" spans="1:18" x14ac:dyDescent="0.25">
      <c r="A143" s="3">
        <v>139</v>
      </c>
      <c r="B143" s="4">
        <v>46244</v>
      </c>
      <c r="C143" s="3" t="s">
        <v>25</v>
      </c>
      <c r="D143" s="3" t="s">
        <v>19</v>
      </c>
      <c r="E143" s="3" t="s">
        <v>24</v>
      </c>
      <c r="F143" s="3">
        <v>312</v>
      </c>
      <c r="G143" s="3">
        <v>303</v>
      </c>
      <c r="H143" s="3">
        <v>9</v>
      </c>
      <c r="I143" s="5">
        <f t="shared" si="13"/>
        <v>2.8846153846153848E-2</v>
      </c>
      <c r="J143" s="6">
        <f t="shared" si="14"/>
        <v>28846.153846153848</v>
      </c>
      <c r="K143" s="7">
        <v>1.1200000000000001</v>
      </c>
      <c r="L143" s="3">
        <v>425</v>
      </c>
      <c r="M143" s="3">
        <v>450</v>
      </c>
      <c r="N143" s="3">
        <v>25</v>
      </c>
      <c r="O143" s="5">
        <f t="shared" si="15"/>
        <v>0.94444444444444442</v>
      </c>
      <c r="P143" s="5">
        <f t="shared" si="16"/>
        <v>0.82221176470588253</v>
      </c>
      <c r="Q143" s="5">
        <f t="shared" si="17"/>
        <v>0.97115384615384615</v>
      </c>
      <c r="R143" s="5">
        <f t="shared" si="18"/>
        <v>0.75413333333333354</v>
      </c>
    </row>
    <row r="144" spans="1:18" x14ac:dyDescent="0.25">
      <c r="A144" s="3">
        <v>140</v>
      </c>
      <c r="B144" s="4">
        <v>46244</v>
      </c>
      <c r="C144" s="3" t="s">
        <v>25</v>
      </c>
      <c r="D144" s="3" t="s">
        <v>21</v>
      </c>
      <c r="E144" s="3" t="s">
        <v>32</v>
      </c>
      <c r="F144" s="3">
        <v>1008</v>
      </c>
      <c r="G144" s="3">
        <v>1003</v>
      </c>
      <c r="H144" s="3">
        <v>5</v>
      </c>
      <c r="I144" s="5">
        <f t="shared" si="13"/>
        <v>4.96031746031746E-3</v>
      </c>
      <c r="J144" s="6">
        <f t="shared" si="14"/>
        <v>4960.3174603174602</v>
      </c>
      <c r="K144" s="7">
        <v>0.37</v>
      </c>
      <c r="L144" s="3">
        <v>441</v>
      </c>
      <c r="M144" s="3">
        <v>450</v>
      </c>
      <c r="N144" s="3">
        <v>9</v>
      </c>
      <c r="O144" s="5">
        <f t="shared" si="15"/>
        <v>0.98</v>
      </c>
      <c r="P144" s="5">
        <f t="shared" si="16"/>
        <v>0.84571428571428564</v>
      </c>
      <c r="Q144" s="5">
        <f t="shared" si="17"/>
        <v>0.99503968253968256</v>
      </c>
      <c r="R144" s="5">
        <f t="shared" si="18"/>
        <v>0.8246888888888888</v>
      </c>
    </row>
    <row r="145" spans="1:18" x14ac:dyDescent="0.25">
      <c r="A145" s="3">
        <v>141</v>
      </c>
      <c r="B145" s="4">
        <v>46244</v>
      </c>
      <c r="C145" s="3" t="s">
        <v>25</v>
      </c>
      <c r="D145" s="3" t="s">
        <v>23</v>
      </c>
      <c r="E145" s="3" t="s">
        <v>34</v>
      </c>
      <c r="F145" s="3">
        <v>640</v>
      </c>
      <c r="G145" s="3">
        <v>631</v>
      </c>
      <c r="H145" s="3">
        <v>9</v>
      </c>
      <c r="I145" s="5">
        <f t="shared" si="13"/>
        <v>1.40625E-2</v>
      </c>
      <c r="J145" s="6">
        <f t="shared" si="14"/>
        <v>14062.5</v>
      </c>
      <c r="K145" s="7">
        <v>0.51</v>
      </c>
      <c r="L145" s="3">
        <v>389</v>
      </c>
      <c r="M145" s="3">
        <v>450</v>
      </c>
      <c r="N145" s="3">
        <v>61</v>
      </c>
      <c r="O145" s="5">
        <f t="shared" si="15"/>
        <v>0.86444444444444446</v>
      </c>
      <c r="P145" s="5">
        <f t="shared" si="16"/>
        <v>0.8390745501285346</v>
      </c>
      <c r="Q145" s="5">
        <f t="shared" si="17"/>
        <v>0.98593750000000002</v>
      </c>
      <c r="R145" s="5">
        <f t="shared" si="18"/>
        <v>0.71513333333333329</v>
      </c>
    </row>
    <row r="146" spans="1:18" x14ac:dyDescent="0.25">
      <c r="A146" s="3">
        <v>142</v>
      </c>
      <c r="B146" s="4">
        <v>46244</v>
      </c>
      <c r="C146" s="3" t="s">
        <v>28</v>
      </c>
      <c r="D146" s="3" t="s">
        <v>19</v>
      </c>
      <c r="E146" s="3" t="s">
        <v>22</v>
      </c>
      <c r="F146" s="3">
        <v>877</v>
      </c>
      <c r="G146" s="3">
        <v>860</v>
      </c>
      <c r="H146" s="3">
        <v>17</v>
      </c>
      <c r="I146" s="5">
        <f t="shared" si="13"/>
        <v>1.9384264538198404E-2</v>
      </c>
      <c r="J146" s="6">
        <f t="shared" si="14"/>
        <v>19384.264538198404</v>
      </c>
      <c r="K146" s="7">
        <v>0.4</v>
      </c>
      <c r="L146" s="3">
        <v>424</v>
      </c>
      <c r="M146" s="3">
        <v>450</v>
      </c>
      <c r="N146" s="3">
        <v>26</v>
      </c>
      <c r="O146" s="5">
        <f t="shared" si="15"/>
        <v>0.94222222222222218</v>
      </c>
      <c r="P146" s="5">
        <f t="shared" si="16"/>
        <v>0.82735849056603772</v>
      </c>
      <c r="Q146" s="5">
        <f t="shared" si="17"/>
        <v>0.98061573546180159</v>
      </c>
      <c r="R146" s="5">
        <f t="shared" si="18"/>
        <v>0.76444444444444448</v>
      </c>
    </row>
    <row r="147" spans="1:18" x14ac:dyDescent="0.25">
      <c r="A147" s="3">
        <v>143</v>
      </c>
      <c r="B147" s="4">
        <v>46244</v>
      </c>
      <c r="C147" s="3" t="s">
        <v>28</v>
      </c>
      <c r="D147" s="3" t="s">
        <v>21</v>
      </c>
      <c r="E147" s="3" t="s">
        <v>32</v>
      </c>
      <c r="F147" s="3">
        <v>406</v>
      </c>
      <c r="G147" s="3">
        <v>399</v>
      </c>
      <c r="H147" s="3">
        <v>7</v>
      </c>
      <c r="I147" s="5">
        <f t="shared" si="13"/>
        <v>1.7241379310344827E-2</v>
      </c>
      <c r="J147" s="6">
        <f t="shared" si="14"/>
        <v>17241.379310344826</v>
      </c>
      <c r="K147" s="7">
        <v>0.91</v>
      </c>
      <c r="L147" s="3">
        <v>428</v>
      </c>
      <c r="M147" s="3">
        <v>450</v>
      </c>
      <c r="N147" s="3">
        <v>22</v>
      </c>
      <c r="O147" s="5">
        <f t="shared" si="15"/>
        <v>0.95111111111111113</v>
      </c>
      <c r="P147" s="5">
        <f t="shared" si="16"/>
        <v>0.86322429906542064</v>
      </c>
      <c r="Q147" s="5">
        <f t="shared" si="17"/>
        <v>0.98275862068965514</v>
      </c>
      <c r="R147" s="5">
        <f t="shared" si="18"/>
        <v>0.80686666666666673</v>
      </c>
    </row>
    <row r="148" spans="1:18" x14ac:dyDescent="0.25">
      <c r="A148" s="3">
        <v>144</v>
      </c>
      <c r="B148" s="4">
        <v>46244</v>
      </c>
      <c r="C148" s="3" t="s">
        <v>28</v>
      </c>
      <c r="D148" s="3" t="s">
        <v>23</v>
      </c>
      <c r="E148" s="3" t="s">
        <v>35</v>
      </c>
      <c r="F148" s="3">
        <v>707</v>
      </c>
      <c r="G148" s="3">
        <v>682</v>
      </c>
      <c r="H148" s="3">
        <v>25</v>
      </c>
      <c r="I148" s="5">
        <f t="shared" si="13"/>
        <v>3.536067892503536E-2</v>
      </c>
      <c r="J148" s="6">
        <f t="shared" si="14"/>
        <v>35360.678925035361</v>
      </c>
      <c r="K148" s="7">
        <v>0.48</v>
      </c>
      <c r="L148" s="3">
        <v>409</v>
      </c>
      <c r="M148" s="3">
        <v>450</v>
      </c>
      <c r="N148" s="3">
        <v>41</v>
      </c>
      <c r="O148" s="5">
        <f t="shared" si="15"/>
        <v>0.90888888888888886</v>
      </c>
      <c r="P148" s="5">
        <f t="shared" si="16"/>
        <v>0.82973105134474334</v>
      </c>
      <c r="Q148" s="5">
        <f t="shared" si="17"/>
        <v>0.96463932107496464</v>
      </c>
      <c r="R148" s="5">
        <f t="shared" si="18"/>
        <v>0.72746666666666671</v>
      </c>
    </row>
    <row r="149" spans="1:18" x14ac:dyDescent="0.25">
      <c r="A149" s="3">
        <v>145</v>
      </c>
      <c r="B149" s="4">
        <v>46244</v>
      </c>
      <c r="C149" s="3" t="s">
        <v>30</v>
      </c>
      <c r="D149" s="3" t="s">
        <v>19</v>
      </c>
      <c r="E149" s="3" t="s">
        <v>32</v>
      </c>
      <c r="F149" s="3">
        <v>251</v>
      </c>
      <c r="G149" s="3">
        <v>245</v>
      </c>
      <c r="H149" s="3">
        <v>6</v>
      </c>
      <c r="I149" s="5">
        <f t="shared" si="13"/>
        <v>2.3904382470119521E-2</v>
      </c>
      <c r="J149" s="6">
        <f t="shared" si="14"/>
        <v>23904.382470119523</v>
      </c>
      <c r="K149" s="7">
        <v>1.79</v>
      </c>
      <c r="L149" s="3">
        <v>444</v>
      </c>
      <c r="M149" s="3">
        <v>450</v>
      </c>
      <c r="N149" s="3">
        <v>6</v>
      </c>
      <c r="O149" s="5">
        <f t="shared" si="15"/>
        <v>0.98666666666666669</v>
      </c>
      <c r="P149" s="5">
        <f t="shared" si="16"/>
        <v>1.0119144144144145</v>
      </c>
      <c r="Q149" s="5">
        <f t="shared" si="17"/>
        <v>0.9760956175298805</v>
      </c>
      <c r="R149" s="5">
        <f t="shared" si="18"/>
        <v>0.97455555555555562</v>
      </c>
    </row>
    <row r="150" spans="1:18" x14ac:dyDescent="0.25">
      <c r="A150" s="3">
        <v>146</v>
      </c>
      <c r="B150" s="4">
        <v>46244</v>
      </c>
      <c r="C150" s="3" t="s">
        <v>30</v>
      </c>
      <c r="D150" s="3" t="s">
        <v>21</v>
      </c>
      <c r="E150" s="3" t="s">
        <v>27</v>
      </c>
      <c r="F150" s="3">
        <v>338</v>
      </c>
      <c r="G150" s="3">
        <v>326</v>
      </c>
      <c r="H150" s="3">
        <v>12</v>
      </c>
      <c r="I150" s="5">
        <f t="shared" si="13"/>
        <v>3.5502958579881658E-2</v>
      </c>
      <c r="J150" s="6">
        <f t="shared" si="14"/>
        <v>35502.958579881655</v>
      </c>
      <c r="K150" s="7">
        <v>1.1200000000000001</v>
      </c>
      <c r="L150" s="3">
        <v>389</v>
      </c>
      <c r="M150" s="3">
        <v>450</v>
      </c>
      <c r="N150" s="3">
        <v>61</v>
      </c>
      <c r="O150" s="5">
        <f t="shared" si="15"/>
        <v>0.86444444444444446</v>
      </c>
      <c r="P150" s="5">
        <f t="shared" si="16"/>
        <v>0.97316195372750658</v>
      </c>
      <c r="Q150" s="5">
        <f t="shared" si="17"/>
        <v>0.96449704142011838</v>
      </c>
      <c r="R150" s="5">
        <f t="shared" si="18"/>
        <v>0.81137777777777798</v>
      </c>
    </row>
    <row r="151" spans="1:18" x14ac:dyDescent="0.25">
      <c r="A151" s="3">
        <v>147</v>
      </c>
      <c r="B151" s="4">
        <v>46244</v>
      </c>
      <c r="C151" s="3" t="s">
        <v>30</v>
      </c>
      <c r="D151" s="3" t="s">
        <v>23</v>
      </c>
      <c r="E151" s="3" t="s">
        <v>34</v>
      </c>
      <c r="F151" s="3">
        <v>272</v>
      </c>
      <c r="G151" s="3">
        <v>266</v>
      </c>
      <c r="H151" s="3">
        <v>6</v>
      </c>
      <c r="I151" s="5">
        <f t="shared" si="13"/>
        <v>2.2058823529411766E-2</v>
      </c>
      <c r="J151" s="6">
        <f t="shared" si="14"/>
        <v>22058.823529411766</v>
      </c>
      <c r="K151" s="7">
        <v>1.57</v>
      </c>
      <c r="L151" s="3">
        <v>426</v>
      </c>
      <c r="M151" s="3">
        <v>450</v>
      </c>
      <c r="N151" s="3">
        <v>24</v>
      </c>
      <c r="O151" s="5">
        <f t="shared" si="15"/>
        <v>0.94666666666666666</v>
      </c>
      <c r="P151" s="5">
        <f t="shared" si="16"/>
        <v>1.0024413145539905</v>
      </c>
      <c r="Q151" s="5">
        <f t="shared" si="17"/>
        <v>0.9779411764705882</v>
      </c>
      <c r="R151" s="5">
        <f t="shared" si="18"/>
        <v>0.92804444444444434</v>
      </c>
    </row>
    <row r="152" spans="1:18" x14ac:dyDescent="0.25">
      <c r="A152" s="3">
        <v>148</v>
      </c>
      <c r="B152" s="4">
        <v>46244</v>
      </c>
      <c r="C152" s="3" t="s">
        <v>33</v>
      </c>
      <c r="D152" s="3" t="s">
        <v>19</v>
      </c>
      <c r="E152" s="3" t="s">
        <v>27</v>
      </c>
      <c r="F152" s="3">
        <v>236</v>
      </c>
      <c r="G152" s="3">
        <v>226</v>
      </c>
      <c r="H152" s="3">
        <v>10</v>
      </c>
      <c r="I152" s="5">
        <f t="shared" si="13"/>
        <v>4.2372881355932202E-2</v>
      </c>
      <c r="J152" s="6">
        <f t="shared" si="14"/>
        <v>42372.881355932201</v>
      </c>
      <c r="K152" s="7">
        <v>1.46</v>
      </c>
      <c r="L152" s="3">
        <v>402</v>
      </c>
      <c r="M152" s="3">
        <v>450</v>
      </c>
      <c r="N152" s="3">
        <v>48</v>
      </c>
      <c r="O152" s="5">
        <f t="shared" si="15"/>
        <v>0.89333333333333331</v>
      </c>
      <c r="P152" s="5">
        <f t="shared" si="16"/>
        <v>0.85711442786069647</v>
      </c>
      <c r="Q152" s="5">
        <f t="shared" si="17"/>
        <v>0.9576271186440678</v>
      </c>
      <c r="R152" s="5">
        <f t="shared" si="18"/>
        <v>0.73324444444444448</v>
      </c>
    </row>
    <row r="153" spans="1:18" x14ac:dyDescent="0.25">
      <c r="A153" s="3">
        <v>149</v>
      </c>
      <c r="B153" s="4">
        <v>46244</v>
      </c>
      <c r="C153" s="3" t="s">
        <v>33</v>
      </c>
      <c r="D153" s="3" t="s">
        <v>21</v>
      </c>
      <c r="E153" s="3" t="s">
        <v>31</v>
      </c>
      <c r="F153" s="3">
        <v>831</v>
      </c>
      <c r="G153" s="3">
        <v>802</v>
      </c>
      <c r="H153" s="3">
        <v>29</v>
      </c>
      <c r="I153" s="5">
        <f t="shared" si="13"/>
        <v>3.4897713598074608E-2</v>
      </c>
      <c r="J153" s="6">
        <f t="shared" si="14"/>
        <v>34897.71359807461</v>
      </c>
      <c r="K153" s="7">
        <v>0.49</v>
      </c>
      <c r="L153" s="3">
        <v>396</v>
      </c>
      <c r="M153" s="3">
        <v>450</v>
      </c>
      <c r="N153" s="3">
        <v>54</v>
      </c>
      <c r="O153" s="5">
        <f t="shared" si="15"/>
        <v>0.88</v>
      </c>
      <c r="P153" s="5">
        <f t="shared" si="16"/>
        <v>1.0282575757575758</v>
      </c>
      <c r="Q153" s="5">
        <f t="shared" si="17"/>
        <v>0.96510228640192541</v>
      </c>
      <c r="R153" s="5">
        <f t="shared" si="18"/>
        <v>0.873288888888889</v>
      </c>
    </row>
    <row r="154" spans="1:18" x14ac:dyDescent="0.25">
      <c r="A154" s="3">
        <v>150</v>
      </c>
      <c r="B154" s="4">
        <v>46244</v>
      </c>
      <c r="C154" s="3" t="s">
        <v>33</v>
      </c>
      <c r="D154" s="3" t="s">
        <v>23</v>
      </c>
      <c r="E154" s="3" t="s">
        <v>29</v>
      </c>
      <c r="F154" s="3">
        <v>690</v>
      </c>
      <c r="G154" s="3">
        <v>666</v>
      </c>
      <c r="H154" s="3">
        <v>24</v>
      </c>
      <c r="I154" s="5">
        <f t="shared" si="13"/>
        <v>3.4782608695652174E-2</v>
      </c>
      <c r="J154" s="6">
        <f t="shared" si="14"/>
        <v>34782.608695652176</v>
      </c>
      <c r="K154" s="7">
        <v>0.49</v>
      </c>
      <c r="L154" s="3">
        <v>429</v>
      </c>
      <c r="M154" s="3">
        <v>450</v>
      </c>
      <c r="N154" s="3">
        <v>21</v>
      </c>
      <c r="O154" s="5">
        <f t="shared" si="15"/>
        <v>0.95333333333333337</v>
      </c>
      <c r="P154" s="5">
        <f t="shared" si="16"/>
        <v>0.78811188811188804</v>
      </c>
      <c r="Q154" s="5">
        <f t="shared" si="17"/>
        <v>0.9652173913043478</v>
      </c>
      <c r="R154" s="5">
        <f t="shared" si="18"/>
        <v>0.72519999999999996</v>
      </c>
    </row>
    <row r="155" spans="1:18" x14ac:dyDescent="0.25">
      <c r="A155" s="3">
        <v>151</v>
      </c>
      <c r="B155" s="4">
        <v>46245</v>
      </c>
      <c r="C155" s="3" t="s">
        <v>18</v>
      </c>
      <c r="D155" s="3" t="s">
        <v>19</v>
      </c>
      <c r="E155" s="3" t="s">
        <v>22</v>
      </c>
      <c r="F155" s="3">
        <v>249</v>
      </c>
      <c r="G155" s="3">
        <v>239</v>
      </c>
      <c r="H155" s="3">
        <v>10</v>
      </c>
      <c r="I155" s="5">
        <f t="shared" si="13"/>
        <v>4.0160642570281124E-2</v>
      </c>
      <c r="J155" s="6">
        <f t="shared" si="14"/>
        <v>40160.642570281125</v>
      </c>
      <c r="K155" s="7">
        <v>1.51</v>
      </c>
      <c r="L155" s="3">
        <v>405</v>
      </c>
      <c r="M155" s="3">
        <v>450</v>
      </c>
      <c r="N155" s="3">
        <v>45</v>
      </c>
      <c r="O155" s="5">
        <f t="shared" si="15"/>
        <v>0.9</v>
      </c>
      <c r="P155" s="5">
        <f t="shared" si="16"/>
        <v>0.9283703703703704</v>
      </c>
      <c r="Q155" s="5">
        <f t="shared" si="17"/>
        <v>0.95983935742971882</v>
      </c>
      <c r="R155" s="5">
        <f t="shared" si="18"/>
        <v>0.80197777777777779</v>
      </c>
    </row>
    <row r="156" spans="1:18" x14ac:dyDescent="0.25">
      <c r="A156" s="3">
        <v>152</v>
      </c>
      <c r="B156" s="4">
        <v>46245</v>
      </c>
      <c r="C156" s="3" t="s">
        <v>18</v>
      </c>
      <c r="D156" s="3" t="s">
        <v>21</v>
      </c>
      <c r="E156" s="3" t="s">
        <v>32</v>
      </c>
      <c r="F156" s="3">
        <v>721</v>
      </c>
      <c r="G156" s="3">
        <v>718</v>
      </c>
      <c r="H156" s="3">
        <v>3</v>
      </c>
      <c r="I156" s="5">
        <f t="shared" si="13"/>
        <v>4.160887656033287E-3</v>
      </c>
      <c r="J156" s="6">
        <f t="shared" si="14"/>
        <v>4160.8876560332874</v>
      </c>
      <c r="K156" s="7">
        <v>0.49</v>
      </c>
      <c r="L156" s="3">
        <v>400</v>
      </c>
      <c r="M156" s="3">
        <v>450</v>
      </c>
      <c r="N156" s="3">
        <v>50</v>
      </c>
      <c r="O156" s="5">
        <f t="shared" si="15"/>
        <v>0.88888888888888884</v>
      </c>
      <c r="P156" s="5">
        <f t="shared" si="16"/>
        <v>0.88322500000000004</v>
      </c>
      <c r="Q156" s="5">
        <f t="shared" si="17"/>
        <v>0.99583911234396671</v>
      </c>
      <c r="R156" s="5">
        <f t="shared" si="18"/>
        <v>0.7818222222222222</v>
      </c>
    </row>
    <row r="157" spans="1:18" x14ac:dyDescent="0.25">
      <c r="A157" s="3">
        <v>153</v>
      </c>
      <c r="B157" s="4">
        <v>46245</v>
      </c>
      <c r="C157" s="3" t="s">
        <v>18</v>
      </c>
      <c r="D157" s="3" t="s">
        <v>23</v>
      </c>
      <c r="E157" s="3" t="s">
        <v>31</v>
      </c>
      <c r="F157" s="3">
        <v>363</v>
      </c>
      <c r="G157" s="3">
        <v>356</v>
      </c>
      <c r="H157" s="3">
        <v>7</v>
      </c>
      <c r="I157" s="5">
        <f t="shared" si="13"/>
        <v>1.928374655647383E-2</v>
      </c>
      <c r="J157" s="6">
        <f t="shared" si="14"/>
        <v>19283.74655647383</v>
      </c>
      <c r="K157" s="7">
        <v>1</v>
      </c>
      <c r="L157" s="3">
        <v>429</v>
      </c>
      <c r="M157" s="3">
        <v>450</v>
      </c>
      <c r="N157" s="3">
        <v>21</v>
      </c>
      <c r="O157" s="5">
        <f t="shared" si="15"/>
        <v>0.95333333333333337</v>
      </c>
      <c r="P157" s="5">
        <f t="shared" si="16"/>
        <v>0.84615384615384615</v>
      </c>
      <c r="Q157" s="5">
        <f t="shared" si="17"/>
        <v>0.9807162534435262</v>
      </c>
      <c r="R157" s="5">
        <f t="shared" si="18"/>
        <v>0.7911111111111111</v>
      </c>
    </row>
    <row r="158" spans="1:18" x14ac:dyDescent="0.25">
      <c r="A158" s="3">
        <v>154</v>
      </c>
      <c r="B158" s="4">
        <v>46245</v>
      </c>
      <c r="C158" s="3" t="s">
        <v>25</v>
      </c>
      <c r="D158" s="3" t="s">
        <v>19</v>
      </c>
      <c r="E158" s="3" t="s">
        <v>31</v>
      </c>
      <c r="F158" s="3">
        <v>387</v>
      </c>
      <c r="G158" s="3">
        <v>371</v>
      </c>
      <c r="H158" s="3">
        <v>16</v>
      </c>
      <c r="I158" s="5">
        <f t="shared" si="13"/>
        <v>4.1343669250645997E-2</v>
      </c>
      <c r="J158" s="6">
        <f t="shared" si="14"/>
        <v>41343.669250645995</v>
      </c>
      <c r="K158" s="7">
        <v>0.97</v>
      </c>
      <c r="L158" s="3">
        <v>443</v>
      </c>
      <c r="M158" s="3">
        <v>450</v>
      </c>
      <c r="N158" s="3">
        <v>7</v>
      </c>
      <c r="O158" s="5">
        <f t="shared" si="15"/>
        <v>0.98444444444444446</v>
      </c>
      <c r="P158" s="5">
        <f t="shared" si="16"/>
        <v>0.84738148984198647</v>
      </c>
      <c r="Q158" s="5">
        <f t="shared" si="17"/>
        <v>0.95865633074935397</v>
      </c>
      <c r="R158" s="5">
        <f t="shared" si="18"/>
        <v>0.79971111111111115</v>
      </c>
    </row>
    <row r="159" spans="1:18" x14ac:dyDescent="0.25">
      <c r="A159" s="3">
        <v>155</v>
      </c>
      <c r="B159" s="4">
        <v>46245</v>
      </c>
      <c r="C159" s="3" t="s">
        <v>25</v>
      </c>
      <c r="D159" s="3" t="s">
        <v>21</v>
      </c>
      <c r="E159" s="3" t="s">
        <v>22</v>
      </c>
      <c r="F159" s="3">
        <v>348</v>
      </c>
      <c r="G159" s="3">
        <v>340</v>
      </c>
      <c r="H159" s="3">
        <v>8</v>
      </c>
      <c r="I159" s="5">
        <f t="shared" si="13"/>
        <v>2.2988505747126436E-2</v>
      </c>
      <c r="J159" s="6">
        <f t="shared" si="14"/>
        <v>22988.505747126437</v>
      </c>
      <c r="K159" s="7">
        <v>0.97</v>
      </c>
      <c r="L159" s="3">
        <v>392</v>
      </c>
      <c r="M159" s="3">
        <v>450</v>
      </c>
      <c r="N159" s="3">
        <v>58</v>
      </c>
      <c r="O159" s="5">
        <f t="shared" si="15"/>
        <v>0.87111111111111106</v>
      </c>
      <c r="P159" s="5">
        <f t="shared" si="16"/>
        <v>0.86112244897959189</v>
      </c>
      <c r="Q159" s="5">
        <f t="shared" si="17"/>
        <v>0.97701149425287359</v>
      </c>
      <c r="R159" s="5">
        <f t="shared" si="18"/>
        <v>0.73288888888888892</v>
      </c>
    </row>
    <row r="160" spans="1:18" x14ac:dyDescent="0.25">
      <c r="A160" s="3">
        <v>156</v>
      </c>
      <c r="B160" s="4">
        <v>46245</v>
      </c>
      <c r="C160" s="3" t="s">
        <v>25</v>
      </c>
      <c r="D160" s="3" t="s">
        <v>23</v>
      </c>
      <c r="E160" s="3" t="s">
        <v>20</v>
      </c>
      <c r="F160" s="3">
        <v>393</v>
      </c>
      <c r="G160" s="3">
        <v>389</v>
      </c>
      <c r="H160" s="3">
        <v>4</v>
      </c>
      <c r="I160" s="5">
        <f t="shared" si="13"/>
        <v>1.0178117048346057E-2</v>
      </c>
      <c r="J160" s="6">
        <f t="shared" si="14"/>
        <v>10178.117048346057</v>
      </c>
      <c r="K160" s="7">
        <v>0.96</v>
      </c>
      <c r="L160" s="3">
        <v>417</v>
      </c>
      <c r="M160" s="3">
        <v>450</v>
      </c>
      <c r="N160" s="3">
        <v>33</v>
      </c>
      <c r="O160" s="5">
        <f t="shared" si="15"/>
        <v>0.92666666666666664</v>
      </c>
      <c r="P160" s="5">
        <f t="shared" si="16"/>
        <v>0.90474820143884882</v>
      </c>
      <c r="Q160" s="5">
        <f t="shared" si="17"/>
        <v>0.98982188295165396</v>
      </c>
      <c r="R160" s="5">
        <f t="shared" si="18"/>
        <v>0.82986666666666664</v>
      </c>
    </row>
    <row r="161" spans="1:18" x14ac:dyDescent="0.25">
      <c r="A161" s="3">
        <v>157</v>
      </c>
      <c r="B161" s="4">
        <v>46245</v>
      </c>
      <c r="C161" s="3" t="s">
        <v>28</v>
      </c>
      <c r="D161" s="3" t="s">
        <v>19</v>
      </c>
      <c r="E161" s="3" t="s">
        <v>32</v>
      </c>
      <c r="F161" s="3">
        <v>460</v>
      </c>
      <c r="G161" s="3">
        <v>451</v>
      </c>
      <c r="H161" s="3">
        <v>9</v>
      </c>
      <c r="I161" s="5">
        <f t="shared" si="13"/>
        <v>1.9565217391304349E-2</v>
      </c>
      <c r="J161" s="6">
        <f t="shared" si="14"/>
        <v>19565.217391304348</v>
      </c>
      <c r="K161" s="7">
        <v>0.86</v>
      </c>
      <c r="L161" s="3">
        <v>430</v>
      </c>
      <c r="M161" s="3">
        <v>450</v>
      </c>
      <c r="N161" s="3">
        <v>20</v>
      </c>
      <c r="O161" s="5">
        <f t="shared" si="15"/>
        <v>0.9555555555555556</v>
      </c>
      <c r="P161" s="5">
        <f t="shared" si="16"/>
        <v>0.91999999999999993</v>
      </c>
      <c r="Q161" s="5">
        <f t="shared" si="17"/>
        <v>0.98043478260869565</v>
      </c>
      <c r="R161" s="5">
        <f t="shared" si="18"/>
        <v>0.86191111111111107</v>
      </c>
    </row>
    <row r="162" spans="1:18" x14ac:dyDescent="0.25">
      <c r="A162" s="3">
        <v>158</v>
      </c>
      <c r="B162" s="4">
        <v>46245</v>
      </c>
      <c r="C162" s="3" t="s">
        <v>28</v>
      </c>
      <c r="D162" s="3" t="s">
        <v>21</v>
      </c>
      <c r="E162" s="3" t="s">
        <v>27</v>
      </c>
      <c r="F162" s="3">
        <v>256</v>
      </c>
      <c r="G162" s="3">
        <v>247</v>
      </c>
      <c r="H162" s="3">
        <v>9</v>
      </c>
      <c r="I162" s="5">
        <f t="shared" si="13"/>
        <v>3.515625E-2</v>
      </c>
      <c r="J162" s="6">
        <f t="shared" si="14"/>
        <v>35156.25</v>
      </c>
      <c r="K162" s="7">
        <v>1.54</v>
      </c>
      <c r="L162" s="3">
        <v>387</v>
      </c>
      <c r="M162" s="3">
        <v>450</v>
      </c>
      <c r="N162" s="3">
        <v>63</v>
      </c>
      <c r="O162" s="5">
        <f t="shared" si="15"/>
        <v>0.86</v>
      </c>
      <c r="P162" s="5">
        <f t="shared" si="16"/>
        <v>1.0187080103359174</v>
      </c>
      <c r="Q162" s="5">
        <f t="shared" si="17"/>
        <v>0.96484375</v>
      </c>
      <c r="R162" s="5">
        <f t="shared" si="18"/>
        <v>0.84528888888888887</v>
      </c>
    </row>
    <row r="163" spans="1:18" x14ac:dyDescent="0.25">
      <c r="A163" s="3">
        <v>159</v>
      </c>
      <c r="B163" s="4">
        <v>46245</v>
      </c>
      <c r="C163" s="3" t="s">
        <v>28</v>
      </c>
      <c r="D163" s="3" t="s">
        <v>23</v>
      </c>
      <c r="E163" s="3" t="s">
        <v>34</v>
      </c>
      <c r="F163" s="3">
        <v>243</v>
      </c>
      <c r="G163" s="3">
        <v>241</v>
      </c>
      <c r="H163" s="3">
        <v>2</v>
      </c>
      <c r="I163" s="5">
        <f t="shared" si="13"/>
        <v>8.23045267489712E-3</v>
      </c>
      <c r="J163" s="6">
        <f t="shared" si="14"/>
        <v>8230.4526748971202</v>
      </c>
      <c r="K163" s="7">
        <v>1.75</v>
      </c>
      <c r="L163" s="3">
        <v>430</v>
      </c>
      <c r="M163" s="3">
        <v>450</v>
      </c>
      <c r="N163" s="3">
        <v>20</v>
      </c>
      <c r="O163" s="5">
        <f t="shared" si="15"/>
        <v>0.9555555555555556</v>
      </c>
      <c r="P163" s="5">
        <f t="shared" si="16"/>
        <v>0.98895348837209307</v>
      </c>
      <c r="Q163" s="5">
        <f t="shared" si="17"/>
        <v>0.99176954732510292</v>
      </c>
      <c r="R163" s="5">
        <f t="shared" si="18"/>
        <v>0.93722222222222229</v>
      </c>
    </row>
    <row r="164" spans="1:18" x14ac:dyDescent="0.25">
      <c r="A164" s="3">
        <v>160</v>
      </c>
      <c r="B164" s="4">
        <v>46245</v>
      </c>
      <c r="C164" s="3" t="s">
        <v>30</v>
      </c>
      <c r="D164" s="3" t="s">
        <v>19</v>
      </c>
      <c r="E164" s="3" t="s">
        <v>27</v>
      </c>
      <c r="F164" s="3">
        <v>364</v>
      </c>
      <c r="G164" s="3">
        <v>354</v>
      </c>
      <c r="H164" s="3">
        <v>10</v>
      </c>
      <c r="I164" s="5">
        <f t="shared" si="13"/>
        <v>2.7472527472527472E-2</v>
      </c>
      <c r="J164" s="6">
        <f t="shared" si="14"/>
        <v>27472.527472527472</v>
      </c>
      <c r="K164" s="7">
        <v>1.1100000000000001</v>
      </c>
      <c r="L164" s="3">
        <v>411</v>
      </c>
      <c r="M164" s="3">
        <v>450</v>
      </c>
      <c r="N164" s="3">
        <v>39</v>
      </c>
      <c r="O164" s="5">
        <f t="shared" si="15"/>
        <v>0.91333333333333333</v>
      </c>
      <c r="P164" s="5">
        <f t="shared" si="16"/>
        <v>0.98306569343065697</v>
      </c>
      <c r="Q164" s="5">
        <f t="shared" si="17"/>
        <v>0.97252747252747251</v>
      </c>
      <c r="R164" s="5">
        <f t="shared" si="18"/>
        <v>0.87319999999999998</v>
      </c>
    </row>
    <row r="165" spans="1:18" x14ac:dyDescent="0.25">
      <c r="A165" s="3">
        <v>161</v>
      </c>
      <c r="B165" s="4">
        <v>46245</v>
      </c>
      <c r="C165" s="3" t="s">
        <v>30</v>
      </c>
      <c r="D165" s="3" t="s">
        <v>21</v>
      </c>
      <c r="E165" s="3" t="s">
        <v>22</v>
      </c>
      <c r="F165" s="3">
        <v>603</v>
      </c>
      <c r="G165" s="3">
        <v>598</v>
      </c>
      <c r="H165" s="3">
        <v>5</v>
      </c>
      <c r="I165" s="5">
        <f t="shared" si="13"/>
        <v>8.291873963515755E-3</v>
      </c>
      <c r="J165" s="6">
        <f t="shared" si="14"/>
        <v>8291.8739635157544</v>
      </c>
      <c r="K165" s="7">
        <v>0.73</v>
      </c>
      <c r="L165" s="3">
        <v>435</v>
      </c>
      <c r="M165" s="3">
        <v>450</v>
      </c>
      <c r="N165" s="3">
        <v>15</v>
      </c>
      <c r="O165" s="5">
        <f t="shared" si="15"/>
        <v>0.96666666666666667</v>
      </c>
      <c r="P165" s="5">
        <f t="shared" si="16"/>
        <v>1.0119310344827586</v>
      </c>
      <c r="Q165" s="5">
        <f t="shared" si="17"/>
        <v>0.99170812603648428</v>
      </c>
      <c r="R165" s="5">
        <f t="shared" si="18"/>
        <v>0.97008888888888889</v>
      </c>
    </row>
    <row r="166" spans="1:18" x14ac:dyDescent="0.25">
      <c r="A166" s="3">
        <v>162</v>
      </c>
      <c r="B166" s="4">
        <v>46245</v>
      </c>
      <c r="C166" s="3" t="s">
        <v>30</v>
      </c>
      <c r="D166" s="3" t="s">
        <v>23</v>
      </c>
      <c r="E166" s="3" t="s">
        <v>24</v>
      </c>
      <c r="F166" s="3">
        <v>286</v>
      </c>
      <c r="G166" s="3">
        <v>278</v>
      </c>
      <c r="H166" s="3">
        <v>8</v>
      </c>
      <c r="I166" s="5">
        <f t="shared" si="13"/>
        <v>2.7972027972027972E-2</v>
      </c>
      <c r="J166" s="6">
        <f t="shared" si="14"/>
        <v>27972.027972027972</v>
      </c>
      <c r="K166" s="7">
        <v>1.17</v>
      </c>
      <c r="L166" s="3">
        <v>422</v>
      </c>
      <c r="M166" s="3">
        <v>450</v>
      </c>
      <c r="N166" s="3">
        <v>28</v>
      </c>
      <c r="O166" s="5">
        <f t="shared" si="15"/>
        <v>0.93777777777777782</v>
      </c>
      <c r="P166" s="5">
        <f t="shared" si="16"/>
        <v>0.79293838862559241</v>
      </c>
      <c r="Q166" s="5">
        <f t="shared" si="17"/>
        <v>0.97202797202797198</v>
      </c>
      <c r="R166" s="5">
        <f t="shared" si="18"/>
        <v>0.7228</v>
      </c>
    </row>
    <row r="167" spans="1:18" x14ac:dyDescent="0.25">
      <c r="A167" s="3">
        <v>163</v>
      </c>
      <c r="B167" s="4">
        <v>46245</v>
      </c>
      <c r="C167" s="3" t="s">
        <v>33</v>
      </c>
      <c r="D167" s="3" t="s">
        <v>19</v>
      </c>
      <c r="E167" s="3" t="s">
        <v>32</v>
      </c>
      <c r="F167" s="3">
        <v>209</v>
      </c>
      <c r="G167" s="3">
        <v>204</v>
      </c>
      <c r="H167" s="3">
        <v>5</v>
      </c>
      <c r="I167" s="5">
        <f t="shared" si="13"/>
        <v>2.3923444976076555E-2</v>
      </c>
      <c r="J167" s="6">
        <f t="shared" si="14"/>
        <v>23923.444976076556</v>
      </c>
      <c r="K167" s="7">
        <v>1.53</v>
      </c>
      <c r="L167" s="3">
        <v>402</v>
      </c>
      <c r="M167" s="3">
        <v>450</v>
      </c>
      <c r="N167" s="3">
        <v>48</v>
      </c>
      <c r="O167" s="5">
        <f t="shared" si="15"/>
        <v>0.89333333333333331</v>
      </c>
      <c r="P167" s="5">
        <f t="shared" si="16"/>
        <v>0.79544776119402982</v>
      </c>
      <c r="Q167" s="5">
        <f t="shared" si="17"/>
        <v>0.97607655502392343</v>
      </c>
      <c r="R167" s="5">
        <f t="shared" si="18"/>
        <v>0.69359999999999999</v>
      </c>
    </row>
    <row r="168" spans="1:18" x14ac:dyDescent="0.25">
      <c r="A168" s="3">
        <v>164</v>
      </c>
      <c r="B168" s="4">
        <v>46245</v>
      </c>
      <c r="C168" s="3" t="s">
        <v>33</v>
      </c>
      <c r="D168" s="3" t="s">
        <v>21</v>
      </c>
      <c r="E168" s="3" t="s">
        <v>35</v>
      </c>
      <c r="F168" s="3">
        <v>495</v>
      </c>
      <c r="G168" s="3">
        <v>474</v>
      </c>
      <c r="H168" s="3">
        <v>21</v>
      </c>
      <c r="I168" s="5">
        <f t="shared" si="13"/>
        <v>4.2424242424242427E-2</v>
      </c>
      <c r="J168" s="6">
        <f t="shared" si="14"/>
        <v>42424.242424242424</v>
      </c>
      <c r="K168" s="7">
        <v>0.72</v>
      </c>
      <c r="L168" s="3">
        <v>441</v>
      </c>
      <c r="M168" s="3">
        <v>450</v>
      </c>
      <c r="N168" s="3">
        <v>9</v>
      </c>
      <c r="O168" s="5">
        <f t="shared" si="15"/>
        <v>0.98</v>
      </c>
      <c r="P168" s="5">
        <f t="shared" si="16"/>
        <v>0.80816326530612237</v>
      </c>
      <c r="Q168" s="5">
        <f t="shared" si="17"/>
        <v>0.95757575757575752</v>
      </c>
      <c r="R168" s="5">
        <f t="shared" si="18"/>
        <v>0.75839999999999985</v>
      </c>
    </row>
    <row r="169" spans="1:18" x14ac:dyDescent="0.25">
      <c r="A169" s="3">
        <v>165</v>
      </c>
      <c r="B169" s="4">
        <v>46245</v>
      </c>
      <c r="C169" s="3" t="s">
        <v>33</v>
      </c>
      <c r="D169" s="3" t="s">
        <v>23</v>
      </c>
      <c r="E169" s="3" t="s">
        <v>26</v>
      </c>
      <c r="F169" s="3">
        <v>202</v>
      </c>
      <c r="G169" s="3">
        <v>199</v>
      </c>
      <c r="H169" s="3">
        <v>3</v>
      </c>
      <c r="I169" s="5">
        <f t="shared" si="13"/>
        <v>1.4851485148514851E-2</v>
      </c>
      <c r="J169" s="6">
        <f t="shared" si="14"/>
        <v>14851.48514851485</v>
      </c>
      <c r="K169" s="7">
        <v>1.65</v>
      </c>
      <c r="L169" s="3">
        <v>405</v>
      </c>
      <c r="M169" s="3">
        <v>450</v>
      </c>
      <c r="N169" s="3">
        <v>45</v>
      </c>
      <c r="O169" s="5">
        <f t="shared" si="15"/>
        <v>0.9</v>
      </c>
      <c r="P169" s="5">
        <f t="shared" si="16"/>
        <v>0.8229629629629629</v>
      </c>
      <c r="Q169" s="5">
        <f t="shared" si="17"/>
        <v>0.98514851485148514</v>
      </c>
      <c r="R169" s="5">
        <f t="shared" si="18"/>
        <v>0.72966666666666657</v>
      </c>
    </row>
    <row r="170" spans="1:18" x14ac:dyDescent="0.25">
      <c r="A170" s="3">
        <v>166</v>
      </c>
      <c r="B170" s="4">
        <v>46246</v>
      </c>
      <c r="C170" s="3" t="s">
        <v>18</v>
      </c>
      <c r="D170" s="3" t="s">
        <v>19</v>
      </c>
      <c r="E170" s="3" t="s">
        <v>34</v>
      </c>
      <c r="F170" s="3">
        <v>315</v>
      </c>
      <c r="G170" s="3">
        <v>312</v>
      </c>
      <c r="H170" s="3">
        <v>3</v>
      </c>
      <c r="I170" s="5">
        <f t="shared" si="13"/>
        <v>9.5238095238095247E-3</v>
      </c>
      <c r="J170" s="6">
        <f t="shared" si="14"/>
        <v>9523.8095238095248</v>
      </c>
      <c r="K170" s="7">
        <v>1.2</v>
      </c>
      <c r="L170" s="3">
        <v>425</v>
      </c>
      <c r="M170" s="3">
        <v>450</v>
      </c>
      <c r="N170" s="3">
        <v>25</v>
      </c>
      <c r="O170" s="5">
        <f t="shared" si="15"/>
        <v>0.94444444444444442</v>
      </c>
      <c r="P170" s="5">
        <f t="shared" si="16"/>
        <v>0.88941176470588235</v>
      </c>
      <c r="Q170" s="5">
        <f t="shared" si="17"/>
        <v>0.99047619047619051</v>
      </c>
      <c r="R170" s="5">
        <f t="shared" si="18"/>
        <v>0.83199999999999996</v>
      </c>
    </row>
    <row r="171" spans="1:18" x14ac:dyDescent="0.25">
      <c r="A171" s="3">
        <v>167</v>
      </c>
      <c r="B171" s="4">
        <v>46246</v>
      </c>
      <c r="C171" s="3" t="s">
        <v>18</v>
      </c>
      <c r="D171" s="3" t="s">
        <v>21</v>
      </c>
      <c r="E171" s="3" t="s">
        <v>35</v>
      </c>
      <c r="F171" s="3">
        <v>828</v>
      </c>
      <c r="G171" s="3">
        <v>810</v>
      </c>
      <c r="H171" s="3">
        <v>18</v>
      </c>
      <c r="I171" s="5">
        <f t="shared" si="13"/>
        <v>2.1739130434782608E-2</v>
      </c>
      <c r="J171" s="6">
        <f t="shared" si="14"/>
        <v>21739.130434782608</v>
      </c>
      <c r="K171" s="7">
        <v>0.5</v>
      </c>
      <c r="L171" s="3">
        <v>402</v>
      </c>
      <c r="M171" s="3">
        <v>450</v>
      </c>
      <c r="N171" s="3">
        <v>48</v>
      </c>
      <c r="O171" s="5">
        <f t="shared" si="15"/>
        <v>0.89333333333333331</v>
      </c>
      <c r="P171" s="5">
        <f t="shared" si="16"/>
        <v>1.0298507462686568</v>
      </c>
      <c r="Q171" s="5">
        <f t="shared" si="17"/>
        <v>0.97826086956521741</v>
      </c>
      <c r="R171" s="5">
        <f t="shared" si="18"/>
        <v>0.9</v>
      </c>
    </row>
    <row r="172" spans="1:18" x14ac:dyDescent="0.25">
      <c r="A172" s="3">
        <v>168</v>
      </c>
      <c r="B172" s="4">
        <v>46246</v>
      </c>
      <c r="C172" s="3" t="s">
        <v>18</v>
      </c>
      <c r="D172" s="3" t="s">
        <v>23</v>
      </c>
      <c r="E172" s="3" t="s">
        <v>35</v>
      </c>
      <c r="F172" s="3">
        <v>268</v>
      </c>
      <c r="G172" s="3">
        <v>266</v>
      </c>
      <c r="H172" s="3">
        <v>2</v>
      </c>
      <c r="I172" s="5">
        <f t="shared" si="13"/>
        <v>7.462686567164179E-3</v>
      </c>
      <c r="J172" s="6">
        <f t="shared" si="14"/>
        <v>7462.686567164179</v>
      </c>
      <c r="K172" s="7">
        <v>1.62</v>
      </c>
      <c r="L172" s="3">
        <v>430</v>
      </c>
      <c r="M172" s="3">
        <v>450</v>
      </c>
      <c r="N172" s="3">
        <v>20</v>
      </c>
      <c r="O172" s="5">
        <f t="shared" si="15"/>
        <v>0.9555555555555556</v>
      </c>
      <c r="P172" s="5">
        <f t="shared" si="16"/>
        <v>1.0096744186046511</v>
      </c>
      <c r="Q172" s="5">
        <f t="shared" si="17"/>
        <v>0.9925373134328358</v>
      </c>
      <c r="R172" s="5">
        <f t="shared" si="18"/>
        <v>0.95760000000000001</v>
      </c>
    </row>
    <row r="173" spans="1:18" x14ac:dyDescent="0.25">
      <c r="A173" s="3">
        <v>169</v>
      </c>
      <c r="B173" s="4">
        <v>46246</v>
      </c>
      <c r="C173" s="3" t="s">
        <v>25</v>
      </c>
      <c r="D173" s="3" t="s">
        <v>19</v>
      </c>
      <c r="E173" s="3" t="s">
        <v>32</v>
      </c>
      <c r="F173" s="3">
        <v>809</v>
      </c>
      <c r="G173" s="3">
        <v>774</v>
      </c>
      <c r="H173" s="3">
        <v>35</v>
      </c>
      <c r="I173" s="5">
        <f t="shared" si="13"/>
        <v>4.3263288009888753E-2</v>
      </c>
      <c r="J173" s="6">
        <f t="shared" si="14"/>
        <v>43263.288009888754</v>
      </c>
      <c r="K173" s="7">
        <v>0.52</v>
      </c>
      <c r="L173" s="3">
        <v>416</v>
      </c>
      <c r="M173" s="3">
        <v>450</v>
      </c>
      <c r="N173" s="3">
        <v>34</v>
      </c>
      <c r="O173" s="5">
        <f t="shared" si="15"/>
        <v>0.9244444444444444</v>
      </c>
      <c r="P173" s="5">
        <f t="shared" si="16"/>
        <v>1.01125</v>
      </c>
      <c r="Q173" s="5">
        <f t="shared" si="17"/>
        <v>0.95673671199011123</v>
      </c>
      <c r="R173" s="5">
        <f t="shared" si="18"/>
        <v>0.89439999999999986</v>
      </c>
    </row>
    <row r="174" spans="1:18" x14ac:dyDescent="0.25">
      <c r="A174" s="3">
        <v>170</v>
      </c>
      <c r="B174" s="4">
        <v>46246</v>
      </c>
      <c r="C174" s="3" t="s">
        <v>25</v>
      </c>
      <c r="D174" s="3" t="s">
        <v>21</v>
      </c>
      <c r="E174" s="3" t="s">
        <v>24</v>
      </c>
      <c r="F174" s="3">
        <v>469</v>
      </c>
      <c r="G174" s="3">
        <v>459</v>
      </c>
      <c r="H174" s="3">
        <v>10</v>
      </c>
      <c r="I174" s="5">
        <f t="shared" si="13"/>
        <v>2.1321961620469083E-2</v>
      </c>
      <c r="J174" s="6">
        <f t="shared" si="14"/>
        <v>21321.961620469083</v>
      </c>
      <c r="K174" s="7">
        <v>0.81</v>
      </c>
      <c r="L174" s="3">
        <v>426</v>
      </c>
      <c r="M174" s="3">
        <v>450</v>
      </c>
      <c r="N174" s="3">
        <v>24</v>
      </c>
      <c r="O174" s="5">
        <f t="shared" si="15"/>
        <v>0.94666666666666666</v>
      </c>
      <c r="P174" s="5">
        <f t="shared" si="16"/>
        <v>0.89176056338028176</v>
      </c>
      <c r="Q174" s="5">
        <f t="shared" si="17"/>
        <v>0.97867803837953093</v>
      </c>
      <c r="R174" s="5">
        <f t="shared" si="18"/>
        <v>0.82620000000000005</v>
      </c>
    </row>
    <row r="175" spans="1:18" x14ac:dyDescent="0.25">
      <c r="A175" s="3">
        <v>171</v>
      </c>
      <c r="B175" s="4">
        <v>46246</v>
      </c>
      <c r="C175" s="3" t="s">
        <v>25</v>
      </c>
      <c r="D175" s="3" t="s">
        <v>23</v>
      </c>
      <c r="E175" s="3" t="s">
        <v>32</v>
      </c>
      <c r="F175" s="3">
        <v>676</v>
      </c>
      <c r="G175" s="3">
        <v>667</v>
      </c>
      <c r="H175" s="3">
        <v>9</v>
      </c>
      <c r="I175" s="5">
        <f t="shared" si="13"/>
        <v>1.3313609467455622E-2</v>
      </c>
      <c r="J175" s="6">
        <f t="shared" si="14"/>
        <v>13313.609467455623</v>
      </c>
      <c r="K175" s="7">
        <v>0.63</v>
      </c>
      <c r="L175" s="3">
        <v>424</v>
      </c>
      <c r="M175" s="3">
        <v>450</v>
      </c>
      <c r="N175" s="3">
        <v>26</v>
      </c>
      <c r="O175" s="5">
        <f t="shared" si="15"/>
        <v>0.94222222222222218</v>
      </c>
      <c r="P175" s="5">
        <f t="shared" si="16"/>
        <v>1.0044339622641509</v>
      </c>
      <c r="Q175" s="5">
        <f t="shared" si="17"/>
        <v>0.98668639053254437</v>
      </c>
      <c r="R175" s="5">
        <f t="shared" si="18"/>
        <v>0.93379999999999985</v>
      </c>
    </row>
    <row r="176" spans="1:18" x14ac:dyDescent="0.25">
      <c r="A176" s="3">
        <v>172</v>
      </c>
      <c r="B176" s="4">
        <v>46246</v>
      </c>
      <c r="C176" s="3" t="s">
        <v>28</v>
      </c>
      <c r="D176" s="3" t="s">
        <v>19</v>
      </c>
      <c r="E176" s="3" t="s">
        <v>24</v>
      </c>
      <c r="F176" s="3">
        <v>235</v>
      </c>
      <c r="G176" s="3">
        <v>228</v>
      </c>
      <c r="H176" s="3">
        <v>7</v>
      </c>
      <c r="I176" s="5">
        <f t="shared" si="13"/>
        <v>2.9787234042553193E-2</v>
      </c>
      <c r="J176" s="6">
        <f t="shared" si="14"/>
        <v>29787.234042553191</v>
      </c>
      <c r="K176" s="7">
        <v>1.37</v>
      </c>
      <c r="L176" s="3">
        <v>408</v>
      </c>
      <c r="M176" s="3">
        <v>450</v>
      </c>
      <c r="N176" s="3">
        <v>42</v>
      </c>
      <c r="O176" s="5">
        <f t="shared" si="15"/>
        <v>0.90666666666666662</v>
      </c>
      <c r="P176" s="5">
        <f t="shared" si="16"/>
        <v>0.78909313725490204</v>
      </c>
      <c r="Q176" s="5">
        <f t="shared" si="17"/>
        <v>0.97021276595744677</v>
      </c>
      <c r="R176" s="5">
        <f t="shared" si="18"/>
        <v>0.69413333333333327</v>
      </c>
    </row>
    <row r="177" spans="1:18" x14ac:dyDescent="0.25">
      <c r="A177" s="3">
        <v>173</v>
      </c>
      <c r="B177" s="4">
        <v>46246</v>
      </c>
      <c r="C177" s="3" t="s">
        <v>28</v>
      </c>
      <c r="D177" s="3" t="s">
        <v>21</v>
      </c>
      <c r="E177" s="3" t="s">
        <v>20</v>
      </c>
      <c r="F177" s="3">
        <v>495</v>
      </c>
      <c r="G177" s="3">
        <v>492</v>
      </c>
      <c r="H177" s="3">
        <v>3</v>
      </c>
      <c r="I177" s="5">
        <f t="shared" si="13"/>
        <v>6.0606060606060606E-3</v>
      </c>
      <c r="J177" s="6">
        <f t="shared" si="14"/>
        <v>6060.606060606061</v>
      </c>
      <c r="K177" s="7">
        <v>0.84</v>
      </c>
      <c r="L177" s="3">
        <v>441</v>
      </c>
      <c r="M177" s="3">
        <v>450</v>
      </c>
      <c r="N177" s="3">
        <v>9</v>
      </c>
      <c r="O177" s="5">
        <f t="shared" si="15"/>
        <v>0.98</v>
      </c>
      <c r="P177" s="5">
        <f t="shared" si="16"/>
        <v>0.94285714285714284</v>
      </c>
      <c r="Q177" s="5">
        <f t="shared" si="17"/>
        <v>0.9939393939393939</v>
      </c>
      <c r="R177" s="5">
        <f t="shared" si="18"/>
        <v>0.91839999999999988</v>
      </c>
    </row>
    <row r="178" spans="1:18" x14ac:dyDescent="0.25">
      <c r="A178" s="3">
        <v>174</v>
      </c>
      <c r="B178" s="4">
        <v>46246</v>
      </c>
      <c r="C178" s="3" t="s">
        <v>28</v>
      </c>
      <c r="D178" s="3" t="s">
        <v>23</v>
      </c>
      <c r="E178" s="3" t="s">
        <v>34</v>
      </c>
      <c r="F178" s="3">
        <v>225</v>
      </c>
      <c r="G178" s="3">
        <v>223</v>
      </c>
      <c r="H178" s="3">
        <v>2</v>
      </c>
      <c r="I178" s="5">
        <f t="shared" si="13"/>
        <v>8.8888888888888889E-3</v>
      </c>
      <c r="J178" s="6">
        <f t="shared" si="14"/>
        <v>8888.8888888888887</v>
      </c>
      <c r="K178" s="7">
        <v>1.73</v>
      </c>
      <c r="L178" s="3">
        <v>391</v>
      </c>
      <c r="M178" s="3">
        <v>450</v>
      </c>
      <c r="N178" s="3">
        <v>59</v>
      </c>
      <c r="O178" s="5">
        <f t="shared" si="15"/>
        <v>0.86888888888888893</v>
      </c>
      <c r="P178" s="5">
        <f t="shared" si="16"/>
        <v>0.99552429667519182</v>
      </c>
      <c r="Q178" s="5">
        <f t="shared" si="17"/>
        <v>0.99111111111111116</v>
      </c>
      <c r="R178" s="5">
        <f t="shared" si="18"/>
        <v>0.85731111111111125</v>
      </c>
    </row>
    <row r="179" spans="1:18" x14ac:dyDescent="0.25">
      <c r="A179" s="3">
        <v>175</v>
      </c>
      <c r="B179" s="4">
        <v>46246</v>
      </c>
      <c r="C179" s="3" t="s">
        <v>30</v>
      </c>
      <c r="D179" s="3" t="s">
        <v>19</v>
      </c>
      <c r="E179" s="3" t="s">
        <v>22</v>
      </c>
      <c r="F179" s="3">
        <v>430</v>
      </c>
      <c r="G179" s="3">
        <v>419</v>
      </c>
      <c r="H179" s="3">
        <v>11</v>
      </c>
      <c r="I179" s="5">
        <f t="shared" si="13"/>
        <v>2.5581395348837209E-2</v>
      </c>
      <c r="J179" s="6">
        <f t="shared" si="14"/>
        <v>25581.39534883721</v>
      </c>
      <c r="K179" s="7">
        <v>0.81</v>
      </c>
      <c r="L179" s="3">
        <v>400</v>
      </c>
      <c r="M179" s="3">
        <v>450</v>
      </c>
      <c r="N179" s="3">
        <v>50</v>
      </c>
      <c r="O179" s="5">
        <f t="shared" si="15"/>
        <v>0.88888888888888884</v>
      </c>
      <c r="P179" s="5">
        <f t="shared" si="16"/>
        <v>0.87075000000000002</v>
      </c>
      <c r="Q179" s="5">
        <f t="shared" si="17"/>
        <v>0.97441860465116281</v>
      </c>
      <c r="R179" s="5">
        <f t="shared" si="18"/>
        <v>0.75420000000000009</v>
      </c>
    </row>
    <row r="180" spans="1:18" x14ac:dyDescent="0.25">
      <c r="A180" s="3">
        <v>176</v>
      </c>
      <c r="B180" s="4">
        <v>46246</v>
      </c>
      <c r="C180" s="3" t="s">
        <v>30</v>
      </c>
      <c r="D180" s="3" t="s">
        <v>21</v>
      </c>
      <c r="E180" s="3" t="s">
        <v>29</v>
      </c>
      <c r="F180" s="3">
        <v>441</v>
      </c>
      <c r="G180" s="3">
        <v>435</v>
      </c>
      <c r="H180" s="3">
        <v>6</v>
      </c>
      <c r="I180" s="5">
        <f t="shared" si="13"/>
        <v>1.3605442176870748E-2</v>
      </c>
      <c r="J180" s="6">
        <f t="shared" si="14"/>
        <v>13605.442176870747</v>
      </c>
      <c r="K180" s="7">
        <v>0.78</v>
      </c>
      <c r="L180" s="3">
        <v>395</v>
      </c>
      <c r="M180" s="3">
        <v>450</v>
      </c>
      <c r="N180" s="3">
        <v>55</v>
      </c>
      <c r="O180" s="5">
        <f t="shared" si="15"/>
        <v>0.87777777777777777</v>
      </c>
      <c r="P180" s="5">
        <f t="shared" si="16"/>
        <v>0.87083544303797478</v>
      </c>
      <c r="Q180" s="5">
        <f t="shared" si="17"/>
        <v>0.98639455782312924</v>
      </c>
      <c r="R180" s="5">
        <f t="shared" si="18"/>
        <v>0.75400000000000011</v>
      </c>
    </row>
    <row r="181" spans="1:18" x14ac:dyDescent="0.25">
      <c r="A181" s="3">
        <v>177</v>
      </c>
      <c r="B181" s="4">
        <v>46246</v>
      </c>
      <c r="C181" s="3" t="s">
        <v>30</v>
      </c>
      <c r="D181" s="3" t="s">
        <v>23</v>
      </c>
      <c r="E181" s="3" t="s">
        <v>22</v>
      </c>
      <c r="F181" s="3">
        <v>402</v>
      </c>
      <c r="G181" s="3">
        <v>396</v>
      </c>
      <c r="H181" s="3">
        <v>6</v>
      </c>
      <c r="I181" s="5">
        <f t="shared" si="13"/>
        <v>1.4925373134328358E-2</v>
      </c>
      <c r="J181" s="6">
        <f t="shared" si="14"/>
        <v>14925.373134328358</v>
      </c>
      <c r="K181" s="7">
        <v>0.91</v>
      </c>
      <c r="L181" s="3">
        <v>442</v>
      </c>
      <c r="M181" s="3">
        <v>450</v>
      </c>
      <c r="N181" s="3">
        <v>8</v>
      </c>
      <c r="O181" s="5">
        <f t="shared" si="15"/>
        <v>0.98222222222222222</v>
      </c>
      <c r="P181" s="5">
        <f t="shared" si="16"/>
        <v>0.8276470588235294</v>
      </c>
      <c r="Q181" s="5">
        <f t="shared" si="17"/>
        <v>0.9850746268656716</v>
      </c>
      <c r="R181" s="5">
        <f t="shared" si="18"/>
        <v>0.80079999999999996</v>
      </c>
    </row>
    <row r="182" spans="1:18" x14ac:dyDescent="0.25">
      <c r="A182" s="3">
        <v>178</v>
      </c>
      <c r="B182" s="4">
        <v>46246</v>
      </c>
      <c r="C182" s="3" t="s">
        <v>33</v>
      </c>
      <c r="D182" s="3" t="s">
        <v>19</v>
      </c>
      <c r="E182" s="3" t="s">
        <v>35</v>
      </c>
      <c r="F182" s="3">
        <v>292</v>
      </c>
      <c r="G182" s="3">
        <v>285</v>
      </c>
      <c r="H182" s="3">
        <v>7</v>
      </c>
      <c r="I182" s="5">
        <f t="shared" si="13"/>
        <v>2.3972602739726026E-2</v>
      </c>
      <c r="J182" s="6">
        <f t="shared" si="14"/>
        <v>23972.602739726026</v>
      </c>
      <c r="K182" s="7">
        <v>1.26</v>
      </c>
      <c r="L182" s="3">
        <v>425</v>
      </c>
      <c r="M182" s="3">
        <v>450</v>
      </c>
      <c r="N182" s="3">
        <v>25</v>
      </c>
      <c r="O182" s="5">
        <f t="shared" si="15"/>
        <v>0.94444444444444442</v>
      </c>
      <c r="P182" s="5">
        <f t="shared" si="16"/>
        <v>0.86569411764705884</v>
      </c>
      <c r="Q182" s="5">
        <f t="shared" si="17"/>
        <v>0.97602739726027399</v>
      </c>
      <c r="R182" s="5">
        <f t="shared" si="18"/>
        <v>0.79800000000000004</v>
      </c>
    </row>
    <row r="183" spans="1:18" x14ac:dyDescent="0.25">
      <c r="A183" s="3">
        <v>179</v>
      </c>
      <c r="B183" s="4">
        <v>46246</v>
      </c>
      <c r="C183" s="3" t="s">
        <v>33</v>
      </c>
      <c r="D183" s="3" t="s">
        <v>21</v>
      </c>
      <c r="E183" s="3" t="s">
        <v>26</v>
      </c>
      <c r="F183" s="3">
        <v>251</v>
      </c>
      <c r="G183" s="3">
        <v>244</v>
      </c>
      <c r="H183" s="3">
        <v>7</v>
      </c>
      <c r="I183" s="5">
        <f t="shared" si="13"/>
        <v>2.7888446215139442E-2</v>
      </c>
      <c r="J183" s="6">
        <f t="shared" si="14"/>
        <v>27888.44621513944</v>
      </c>
      <c r="K183" s="7">
        <v>1.47</v>
      </c>
      <c r="L183" s="3">
        <v>422</v>
      </c>
      <c r="M183" s="3">
        <v>450</v>
      </c>
      <c r="N183" s="3">
        <v>28</v>
      </c>
      <c r="O183" s="5">
        <f t="shared" si="15"/>
        <v>0.93777777777777782</v>
      </c>
      <c r="P183" s="5">
        <f t="shared" si="16"/>
        <v>0.87433649289099524</v>
      </c>
      <c r="Q183" s="5">
        <f t="shared" si="17"/>
        <v>0.97211155378486058</v>
      </c>
      <c r="R183" s="5">
        <f t="shared" si="18"/>
        <v>0.7970666666666667</v>
      </c>
    </row>
    <row r="184" spans="1:18" x14ac:dyDescent="0.25">
      <c r="A184" s="3">
        <v>180</v>
      </c>
      <c r="B184" s="4">
        <v>46246</v>
      </c>
      <c r="C184" s="3" t="s">
        <v>33</v>
      </c>
      <c r="D184" s="3" t="s">
        <v>23</v>
      </c>
      <c r="E184" s="3" t="s">
        <v>20</v>
      </c>
      <c r="F184" s="3">
        <v>245</v>
      </c>
      <c r="G184" s="3">
        <v>236</v>
      </c>
      <c r="H184" s="3">
        <v>9</v>
      </c>
      <c r="I184" s="5">
        <f t="shared" si="13"/>
        <v>3.6734693877551024E-2</v>
      </c>
      <c r="J184" s="6">
        <f t="shared" si="14"/>
        <v>36734.693877551021</v>
      </c>
      <c r="K184" s="7">
        <v>1.75</v>
      </c>
      <c r="L184" s="3">
        <v>427</v>
      </c>
      <c r="M184" s="3">
        <v>450</v>
      </c>
      <c r="N184" s="3">
        <v>23</v>
      </c>
      <c r="O184" s="5">
        <f t="shared" si="15"/>
        <v>0.94888888888888889</v>
      </c>
      <c r="P184" s="5">
        <f t="shared" si="16"/>
        <v>1.0040983606557377</v>
      </c>
      <c r="Q184" s="5">
        <f t="shared" si="17"/>
        <v>0.96326530612244898</v>
      </c>
      <c r="R184" s="5">
        <f t="shared" si="18"/>
        <v>0.91777777777777769</v>
      </c>
    </row>
    <row r="185" spans="1:18" x14ac:dyDescent="0.25">
      <c r="A185" s="3">
        <v>181</v>
      </c>
      <c r="B185" s="4">
        <v>46247</v>
      </c>
      <c r="C185" s="3" t="s">
        <v>18</v>
      </c>
      <c r="D185" s="3" t="s">
        <v>19</v>
      </c>
      <c r="E185" s="3" t="s">
        <v>22</v>
      </c>
      <c r="F185" s="3">
        <v>834</v>
      </c>
      <c r="G185" s="3">
        <v>807</v>
      </c>
      <c r="H185" s="3">
        <v>27</v>
      </c>
      <c r="I185" s="5">
        <f t="shared" si="13"/>
        <v>3.237410071942446E-2</v>
      </c>
      <c r="J185" s="6">
        <f t="shared" si="14"/>
        <v>32374.100719424459</v>
      </c>
      <c r="K185" s="7">
        <v>0.44</v>
      </c>
      <c r="L185" s="3">
        <v>414</v>
      </c>
      <c r="M185" s="3">
        <v>450</v>
      </c>
      <c r="N185" s="3">
        <v>36</v>
      </c>
      <c r="O185" s="5">
        <f t="shared" si="15"/>
        <v>0.92</v>
      </c>
      <c r="P185" s="5">
        <f t="shared" si="16"/>
        <v>0.8863768115942029</v>
      </c>
      <c r="Q185" s="5">
        <f t="shared" si="17"/>
        <v>0.96762589928057552</v>
      </c>
      <c r="R185" s="5">
        <f t="shared" si="18"/>
        <v>0.78906666666666669</v>
      </c>
    </row>
    <row r="186" spans="1:18" x14ac:dyDescent="0.25">
      <c r="A186" s="3">
        <v>182</v>
      </c>
      <c r="B186" s="4">
        <v>46247</v>
      </c>
      <c r="C186" s="3" t="s">
        <v>18</v>
      </c>
      <c r="D186" s="3" t="s">
        <v>21</v>
      </c>
      <c r="E186" s="3" t="s">
        <v>22</v>
      </c>
      <c r="F186" s="3">
        <v>179</v>
      </c>
      <c r="G186" s="3">
        <v>174</v>
      </c>
      <c r="H186" s="3">
        <v>5</v>
      </c>
      <c r="I186" s="5">
        <f t="shared" si="13"/>
        <v>2.7932960893854747E-2</v>
      </c>
      <c r="J186" s="6">
        <f t="shared" si="14"/>
        <v>27932.960893854746</v>
      </c>
      <c r="K186" s="7">
        <v>1.78</v>
      </c>
      <c r="L186" s="3">
        <v>397</v>
      </c>
      <c r="M186" s="3">
        <v>450</v>
      </c>
      <c r="N186" s="3">
        <v>53</v>
      </c>
      <c r="O186" s="5">
        <f t="shared" si="15"/>
        <v>0.88222222222222224</v>
      </c>
      <c r="P186" s="5">
        <f t="shared" si="16"/>
        <v>0.80256926952141061</v>
      </c>
      <c r="Q186" s="5">
        <f t="shared" si="17"/>
        <v>0.97206703910614523</v>
      </c>
      <c r="R186" s="5">
        <f t="shared" si="18"/>
        <v>0.68826666666666669</v>
      </c>
    </row>
    <row r="187" spans="1:18" x14ac:dyDescent="0.25">
      <c r="A187" s="3">
        <v>183</v>
      </c>
      <c r="B187" s="4">
        <v>46247</v>
      </c>
      <c r="C187" s="3" t="s">
        <v>18</v>
      </c>
      <c r="D187" s="3" t="s">
        <v>23</v>
      </c>
      <c r="E187" s="3" t="s">
        <v>26</v>
      </c>
      <c r="F187" s="3">
        <v>763</v>
      </c>
      <c r="G187" s="3">
        <v>744</v>
      </c>
      <c r="H187" s="3">
        <v>19</v>
      </c>
      <c r="I187" s="5">
        <f t="shared" si="13"/>
        <v>2.4901703800786368E-2</v>
      </c>
      <c r="J187" s="6">
        <f t="shared" si="14"/>
        <v>24901.70380078637</v>
      </c>
      <c r="K187" s="7">
        <v>0.53</v>
      </c>
      <c r="L187" s="3">
        <v>418</v>
      </c>
      <c r="M187" s="3">
        <v>450</v>
      </c>
      <c r="N187" s="3">
        <v>32</v>
      </c>
      <c r="O187" s="5">
        <f t="shared" si="15"/>
        <v>0.92888888888888888</v>
      </c>
      <c r="P187" s="5">
        <f t="shared" si="16"/>
        <v>0.96744019138755988</v>
      </c>
      <c r="Q187" s="5">
        <f t="shared" si="17"/>
        <v>0.97509829619921362</v>
      </c>
      <c r="R187" s="5">
        <f t="shared" si="18"/>
        <v>0.87626666666666664</v>
      </c>
    </row>
    <row r="188" spans="1:18" x14ac:dyDescent="0.25">
      <c r="A188" s="3">
        <v>184</v>
      </c>
      <c r="B188" s="4">
        <v>46247</v>
      </c>
      <c r="C188" s="3" t="s">
        <v>25</v>
      </c>
      <c r="D188" s="3" t="s">
        <v>19</v>
      </c>
      <c r="E188" s="3" t="s">
        <v>26</v>
      </c>
      <c r="F188" s="3">
        <v>264</v>
      </c>
      <c r="G188" s="3">
        <v>256</v>
      </c>
      <c r="H188" s="3">
        <v>8</v>
      </c>
      <c r="I188" s="5">
        <f t="shared" si="13"/>
        <v>3.0303030303030304E-2</v>
      </c>
      <c r="J188" s="6">
        <f t="shared" si="14"/>
        <v>30303.030303030304</v>
      </c>
      <c r="K188" s="7">
        <v>1.4</v>
      </c>
      <c r="L188" s="3">
        <v>395</v>
      </c>
      <c r="M188" s="3">
        <v>450</v>
      </c>
      <c r="N188" s="3">
        <v>55</v>
      </c>
      <c r="O188" s="5">
        <f t="shared" si="15"/>
        <v>0.87777777777777777</v>
      </c>
      <c r="P188" s="5">
        <f t="shared" si="16"/>
        <v>0.93569620253164554</v>
      </c>
      <c r="Q188" s="5">
        <f t="shared" si="17"/>
        <v>0.96969696969696972</v>
      </c>
      <c r="R188" s="5">
        <f t="shared" si="18"/>
        <v>0.7964444444444444</v>
      </c>
    </row>
    <row r="189" spans="1:18" x14ac:dyDescent="0.25">
      <c r="A189" s="3">
        <v>185</v>
      </c>
      <c r="B189" s="4">
        <v>46247</v>
      </c>
      <c r="C189" s="3" t="s">
        <v>25</v>
      </c>
      <c r="D189" s="3" t="s">
        <v>21</v>
      </c>
      <c r="E189" s="3" t="s">
        <v>22</v>
      </c>
      <c r="F189" s="3">
        <v>269</v>
      </c>
      <c r="G189" s="3">
        <v>258</v>
      </c>
      <c r="H189" s="3">
        <v>11</v>
      </c>
      <c r="I189" s="5">
        <f t="shared" si="13"/>
        <v>4.0892193308550186E-2</v>
      </c>
      <c r="J189" s="6">
        <f t="shared" si="14"/>
        <v>40892.193308550188</v>
      </c>
      <c r="K189" s="7">
        <v>1.44</v>
      </c>
      <c r="L189" s="3">
        <v>392</v>
      </c>
      <c r="M189" s="3">
        <v>450</v>
      </c>
      <c r="N189" s="3">
        <v>58</v>
      </c>
      <c r="O189" s="5">
        <f t="shared" si="15"/>
        <v>0.87111111111111106</v>
      </c>
      <c r="P189" s="5">
        <f t="shared" si="16"/>
        <v>0.98816326530612253</v>
      </c>
      <c r="Q189" s="5">
        <f t="shared" si="17"/>
        <v>0.95910780669144979</v>
      </c>
      <c r="R189" s="5">
        <f t="shared" si="18"/>
        <v>0.8256</v>
      </c>
    </row>
    <row r="190" spans="1:18" x14ac:dyDescent="0.25">
      <c r="A190" s="3">
        <v>186</v>
      </c>
      <c r="B190" s="4">
        <v>46247</v>
      </c>
      <c r="C190" s="3" t="s">
        <v>25</v>
      </c>
      <c r="D190" s="3" t="s">
        <v>23</v>
      </c>
      <c r="E190" s="3" t="s">
        <v>31</v>
      </c>
      <c r="F190" s="3">
        <v>915</v>
      </c>
      <c r="G190" s="3">
        <v>879</v>
      </c>
      <c r="H190" s="3">
        <v>36</v>
      </c>
      <c r="I190" s="5">
        <f t="shared" si="13"/>
        <v>3.9344262295081971E-2</v>
      </c>
      <c r="J190" s="6">
        <f t="shared" si="14"/>
        <v>39344.262295081971</v>
      </c>
      <c r="K190" s="7">
        <v>0.4</v>
      </c>
      <c r="L190" s="3">
        <v>439</v>
      </c>
      <c r="M190" s="3">
        <v>450</v>
      </c>
      <c r="N190" s="3">
        <v>11</v>
      </c>
      <c r="O190" s="5">
        <f t="shared" si="15"/>
        <v>0.97555555555555551</v>
      </c>
      <c r="P190" s="5">
        <f t="shared" si="16"/>
        <v>0.83371298405466976</v>
      </c>
      <c r="Q190" s="5">
        <f t="shared" si="17"/>
        <v>0.96065573770491808</v>
      </c>
      <c r="R190" s="5">
        <f t="shared" si="18"/>
        <v>0.78133333333333344</v>
      </c>
    </row>
    <row r="191" spans="1:18" x14ac:dyDescent="0.25">
      <c r="A191" s="3">
        <v>187</v>
      </c>
      <c r="B191" s="4">
        <v>46247</v>
      </c>
      <c r="C191" s="3" t="s">
        <v>28</v>
      </c>
      <c r="D191" s="3" t="s">
        <v>19</v>
      </c>
      <c r="E191" s="3" t="s">
        <v>27</v>
      </c>
      <c r="F191" s="3">
        <v>282</v>
      </c>
      <c r="G191" s="3">
        <v>279</v>
      </c>
      <c r="H191" s="3">
        <v>3</v>
      </c>
      <c r="I191" s="5">
        <f t="shared" si="13"/>
        <v>1.0638297872340425E-2</v>
      </c>
      <c r="J191" s="6">
        <f t="shared" si="14"/>
        <v>10638.297872340425</v>
      </c>
      <c r="K191" s="7">
        <v>1.29</v>
      </c>
      <c r="L191" s="3">
        <v>412</v>
      </c>
      <c r="M191" s="3">
        <v>450</v>
      </c>
      <c r="N191" s="3">
        <v>38</v>
      </c>
      <c r="O191" s="5">
        <f t="shared" si="15"/>
        <v>0.91555555555555557</v>
      </c>
      <c r="P191" s="5">
        <f t="shared" si="16"/>
        <v>0.88296116504854372</v>
      </c>
      <c r="Q191" s="5">
        <f t="shared" si="17"/>
        <v>0.98936170212765961</v>
      </c>
      <c r="R191" s="5">
        <f t="shared" si="18"/>
        <v>0.79980000000000007</v>
      </c>
    </row>
    <row r="192" spans="1:18" x14ac:dyDescent="0.25">
      <c r="A192" s="3">
        <v>188</v>
      </c>
      <c r="B192" s="4">
        <v>46247</v>
      </c>
      <c r="C192" s="3" t="s">
        <v>28</v>
      </c>
      <c r="D192" s="3" t="s">
        <v>21</v>
      </c>
      <c r="E192" s="3" t="s">
        <v>26</v>
      </c>
      <c r="F192" s="3">
        <v>398</v>
      </c>
      <c r="G192" s="3">
        <v>395</v>
      </c>
      <c r="H192" s="3">
        <v>3</v>
      </c>
      <c r="I192" s="5">
        <f t="shared" si="13"/>
        <v>7.537688442211055E-3</v>
      </c>
      <c r="J192" s="6">
        <f t="shared" si="14"/>
        <v>7537.6884422110552</v>
      </c>
      <c r="K192" s="7">
        <v>0.84</v>
      </c>
      <c r="L192" s="3">
        <v>403</v>
      </c>
      <c r="M192" s="3">
        <v>450</v>
      </c>
      <c r="N192" s="3">
        <v>47</v>
      </c>
      <c r="O192" s="5">
        <f t="shared" si="15"/>
        <v>0.89555555555555555</v>
      </c>
      <c r="P192" s="5">
        <f t="shared" si="16"/>
        <v>0.82957816377171212</v>
      </c>
      <c r="Q192" s="5">
        <f t="shared" si="17"/>
        <v>0.99246231155778897</v>
      </c>
      <c r="R192" s="5">
        <f t="shared" si="18"/>
        <v>0.7373333333333334</v>
      </c>
    </row>
    <row r="193" spans="1:18" x14ac:dyDescent="0.25">
      <c r="A193" s="3">
        <v>189</v>
      </c>
      <c r="B193" s="4">
        <v>46247</v>
      </c>
      <c r="C193" s="3" t="s">
        <v>28</v>
      </c>
      <c r="D193" s="3" t="s">
        <v>23</v>
      </c>
      <c r="E193" s="3" t="s">
        <v>27</v>
      </c>
      <c r="F193" s="3">
        <v>238</v>
      </c>
      <c r="G193" s="3">
        <v>235</v>
      </c>
      <c r="H193" s="3">
        <v>3</v>
      </c>
      <c r="I193" s="5">
        <f t="shared" si="13"/>
        <v>1.2605042016806723E-2</v>
      </c>
      <c r="J193" s="6">
        <f t="shared" si="14"/>
        <v>12605.042016806723</v>
      </c>
      <c r="K193" s="7">
        <v>1.64</v>
      </c>
      <c r="L193" s="3">
        <v>403</v>
      </c>
      <c r="M193" s="3">
        <v>450</v>
      </c>
      <c r="N193" s="3">
        <v>47</v>
      </c>
      <c r="O193" s="5">
        <f t="shared" si="15"/>
        <v>0.89555555555555555</v>
      </c>
      <c r="P193" s="5">
        <f t="shared" si="16"/>
        <v>0.96853598014888331</v>
      </c>
      <c r="Q193" s="5">
        <f t="shared" si="17"/>
        <v>0.98739495798319332</v>
      </c>
      <c r="R193" s="5">
        <f t="shared" si="18"/>
        <v>0.85644444444444445</v>
      </c>
    </row>
    <row r="194" spans="1:18" x14ac:dyDescent="0.25">
      <c r="A194" s="3">
        <v>190</v>
      </c>
      <c r="B194" s="4">
        <v>46247</v>
      </c>
      <c r="C194" s="3" t="s">
        <v>30</v>
      </c>
      <c r="D194" s="3" t="s">
        <v>19</v>
      </c>
      <c r="E194" s="3" t="s">
        <v>34</v>
      </c>
      <c r="F194" s="3">
        <v>539</v>
      </c>
      <c r="G194" s="3">
        <v>524</v>
      </c>
      <c r="H194" s="3">
        <v>15</v>
      </c>
      <c r="I194" s="5">
        <f t="shared" si="13"/>
        <v>2.7829313543599257E-2</v>
      </c>
      <c r="J194" s="6">
        <f t="shared" si="14"/>
        <v>27829.313543599259</v>
      </c>
      <c r="K194" s="7">
        <v>0.77</v>
      </c>
      <c r="L194" s="3">
        <v>434</v>
      </c>
      <c r="M194" s="3">
        <v>450</v>
      </c>
      <c r="N194" s="3">
        <v>16</v>
      </c>
      <c r="O194" s="5">
        <f t="shared" si="15"/>
        <v>0.96444444444444444</v>
      </c>
      <c r="P194" s="5">
        <f t="shared" si="16"/>
        <v>0.95629032258064528</v>
      </c>
      <c r="Q194" s="5">
        <f t="shared" si="17"/>
        <v>0.9721706864564007</v>
      </c>
      <c r="R194" s="5">
        <f t="shared" si="18"/>
        <v>0.89662222222222232</v>
      </c>
    </row>
    <row r="195" spans="1:18" x14ac:dyDescent="0.25">
      <c r="A195" s="3">
        <v>191</v>
      </c>
      <c r="B195" s="4">
        <v>46247</v>
      </c>
      <c r="C195" s="3" t="s">
        <v>30</v>
      </c>
      <c r="D195" s="3" t="s">
        <v>21</v>
      </c>
      <c r="E195" s="3" t="s">
        <v>20</v>
      </c>
      <c r="F195" s="3">
        <v>412</v>
      </c>
      <c r="G195" s="3">
        <v>410</v>
      </c>
      <c r="H195" s="3">
        <v>2</v>
      </c>
      <c r="I195" s="5">
        <f t="shared" si="13"/>
        <v>4.8543689320388345E-3</v>
      </c>
      <c r="J195" s="6">
        <f t="shared" si="14"/>
        <v>4854.3689320388348</v>
      </c>
      <c r="K195" s="7">
        <v>0.8</v>
      </c>
      <c r="L195" s="3">
        <v>386</v>
      </c>
      <c r="M195" s="3">
        <v>450</v>
      </c>
      <c r="N195" s="3">
        <v>64</v>
      </c>
      <c r="O195" s="5">
        <f t="shared" si="15"/>
        <v>0.85777777777777775</v>
      </c>
      <c r="P195" s="5">
        <f t="shared" si="16"/>
        <v>0.8538860103626944</v>
      </c>
      <c r="Q195" s="5">
        <f t="shared" si="17"/>
        <v>0.99514563106796117</v>
      </c>
      <c r="R195" s="5">
        <f t="shared" si="18"/>
        <v>0.72888888888888892</v>
      </c>
    </row>
    <row r="196" spans="1:18" x14ac:dyDescent="0.25">
      <c r="A196" s="3">
        <v>192</v>
      </c>
      <c r="B196" s="4">
        <v>46247</v>
      </c>
      <c r="C196" s="3" t="s">
        <v>30</v>
      </c>
      <c r="D196" s="3" t="s">
        <v>23</v>
      </c>
      <c r="E196" s="3" t="s">
        <v>31</v>
      </c>
      <c r="F196" s="3">
        <v>226</v>
      </c>
      <c r="G196" s="3">
        <v>218</v>
      </c>
      <c r="H196" s="3">
        <v>8</v>
      </c>
      <c r="I196" s="5">
        <f t="shared" si="13"/>
        <v>3.5398230088495575E-2</v>
      </c>
      <c r="J196" s="6">
        <f t="shared" si="14"/>
        <v>35398.230088495577</v>
      </c>
      <c r="K196" s="7">
        <v>1.41</v>
      </c>
      <c r="L196" s="3">
        <v>408</v>
      </c>
      <c r="M196" s="3">
        <v>450</v>
      </c>
      <c r="N196" s="3">
        <v>42</v>
      </c>
      <c r="O196" s="5">
        <f t="shared" si="15"/>
        <v>0.90666666666666662</v>
      </c>
      <c r="P196" s="5">
        <f t="shared" si="16"/>
        <v>0.78102941176470575</v>
      </c>
      <c r="Q196" s="5">
        <f t="shared" si="17"/>
        <v>0.96460176991150437</v>
      </c>
      <c r="R196" s="5">
        <f t="shared" si="18"/>
        <v>0.68306666666666649</v>
      </c>
    </row>
    <row r="197" spans="1:18" x14ac:dyDescent="0.25">
      <c r="A197" s="3">
        <v>193</v>
      </c>
      <c r="B197" s="4">
        <v>46247</v>
      </c>
      <c r="C197" s="3" t="s">
        <v>33</v>
      </c>
      <c r="D197" s="3" t="s">
        <v>19</v>
      </c>
      <c r="E197" s="3" t="s">
        <v>26</v>
      </c>
      <c r="F197" s="3">
        <v>248</v>
      </c>
      <c r="G197" s="3">
        <v>242</v>
      </c>
      <c r="H197" s="3">
        <v>6</v>
      </c>
      <c r="I197" s="5">
        <f t="shared" ref="I197:I260" si="19">IFERROR(H197/F197,0)</f>
        <v>2.4193548387096774E-2</v>
      </c>
      <c r="J197" s="6">
        <f t="shared" ref="J197:J260" si="20">I197*1000000</f>
        <v>24193.548387096773</v>
      </c>
      <c r="K197" s="7">
        <v>1.73</v>
      </c>
      <c r="L197" s="3">
        <v>443</v>
      </c>
      <c r="M197" s="3">
        <v>450</v>
      </c>
      <c r="N197" s="3">
        <v>7</v>
      </c>
      <c r="O197" s="5">
        <f t="shared" ref="O197:O260" si="21">IFERROR(L197/M197,0)</f>
        <v>0.98444444444444446</v>
      </c>
      <c r="P197" s="5">
        <f t="shared" ref="P197:P260" si="22">IFERROR(F197*K197/L197,0)</f>
        <v>0.96848758465011286</v>
      </c>
      <c r="Q197" s="5">
        <f t="shared" ref="Q197:Q260" si="23">IFERROR(G197/F197,0)</f>
        <v>0.97580645161290325</v>
      </c>
      <c r="R197" s="5">
        <f t="shared" ref="R197:R260" si="24">O197*P197*Q197</f>
        <v>0.9303555555555556</v>
      </c>
    </row>
    <row r="198" spans="1:18" x14ac:dyDescent="0.25">
      <c r="A198" s="3">
        <v>194</v>
      </c>
      <c r="B198" s="4">
        <v>46247</v>
      </c>
      <c r="C198" s="3" t="s">
        <v>33</v>
      </c>
      <c r="D198" s="3" t="s">
        <v>21</v>
      </c>
      <c r="E198" s="3" t="s">
        <v>34</v>
      </c>
      <c r="F198" s="3">
        <v>321</v>
      </c>
      <c r="G198" s="3">
        <v>313</v>
      </c>
      <c r="H198" s="3">
        <v>8</v>
      </c>
      <c r="I198" s="5">
        <f t="shared" si="19"/>
        <v>2.4922118380062305E-2</v>
      </c>
      <c r="J198" s="6">
        <f t="shared" si="20"/>
        <v>24922.118380062304</v>
      </c>
      <c r="K198" s="7">
        <v>1.05</v>
      </c>
      <c r="L198" s="3">
        <v>392</v>
      </c>
      <c r="M198" s="3">
        <v>450</v>
      </c>
      <c r="N198" s="3">
        <v>58</v>
      </c>
      <c r="O198" s="5">
        <f t="shared" si="21"/>
        <v>0.87111111111111106</v>
      </c>
      <c r="P198" s="5">
        <f t="shared" si="22"/>
        <v>0.85982142857142863</v>
      </c>
      <c r="Q198" s="5">
        <f t="shared" si="23"/>
        <v>0.97507788161993769</v>
      </c>
      <c r="R198" s="5">
        <f t="shared" si="24"/>
        <v>0.73033333333333328</v>
      </c>
    </row>
    <row r="199" spans="1:18" x14ac:dyDescent="0.25">
      <c r="A199" s="3">
        <v>195</v>
      </c>
      <c r="B199" s="4">
        <v>46247</v>
      </c>
      <c r="C199" s="3" t="s">
        <v>33</v>
      </c>
      <c r="D199" s="3" t="s">
        <v>23</v>
      </c>
      <c r="E199" s="3" t="s">
        <v>24</v>
      </c>
      <c r="F199" s="3">
        <v>397</v>
      </c>
      <c r="G199" s="3">
        <v>381</v>
      </c>
      <c r="H199" s="3">
        <v>16</v>
      </c>
      <c r="I199" s="5">
        <f t="shared" si="19"/>
        <v>4.0302267002518891E-2</v>
      </c>
      <c r="J199" s="6">
        <f t="shared" si="20"/>
        <v>40302.267002518893</v>
      </c>
      <c r="K199" s="7">
        <v>0.98</v>
      </c>
      <c r="L199" s="3">
        <v>419</v>
      </c>
      <c r="M199" s="3">
        <v>450</v>
      </c>
      <c r="N199" s="3">
        <v>31</v>
      </c>
      <c r="O199" s="5">
        <f t="shared" si="21"/>
        <v>0.93111111111111111</v>
      </c>
      <c r="P199" s="5">
        <f t="shared" si="22"/>
        <v>0.92854415274463009</v>
      </c>
      <c r="Q199" s="5">
        <f t="shared" si="23"/>
        <v>0.95969773299748107</v>
      </c>
      <c r="R199" s="5">
        <f t="shared" si="24"/>
        <v>0.82973333333333332</v>
      </c>
    </row>
    <row r="200" spans="1:18" x14ac:dyDescent="0.25">
      <c r="A200" s="3">
        <v>196</v>
      </c>
      <c r="B200" s="4">
        <v>46248</v>
      </c>
      <c r="C200" s="3" t="s">
        <v>18</v>
      </c>
      <c r="D200" s="3" t="s">
        <v>19</v>
      </c>
      <c r="E200" s="3" t="s">
        <v>35</v>
      </c>
      <c r="F200" s="3">
        <v>193</v>
      </c>
      <c r="G200" s="3">
        <v>191</v>
      </c>
      <c r="H200" s="3">
        <v>2</v>
      </c>
      <c r="I200" s="5">
        <f t="shared" si="19"/>
        <v>1.0362694300518135E-2</v>
      </c>
      <c r="J200" s="6">
        <f t="shared" si="20"/>
        <v>10362.694300518135</v>
      </c>
      <c r="K200" s="7">
        <v>1.79</v>
      </c>
      <c r="L200" s="3">
        <v>395</v>
      </c>
      <c r="M200" s="3">
        <v>450</v>
      </c>
      <c r="N200" s="3">
        <v>55</v>
      </c>
      <c r="O200" s="5">
        <f t="shared" si="21"/>
        <v>0.87777777777777777</v>
      </c>
      <c r="P200" s="5">
        <f t="shared" si="22"/>
        <v>0.87460759493670892</v>
      </c>
      <c r="Q200" s="5">
        <f t="shared" si="23"/>
        <v>0.98963730569948183</v>
      </c>
      <c r="R200" s="5">
        <f t="shared" si="24"/>
        <v>0.75975555555555552</v>
      </c>
    </row>
    <row r="201" spans="1:18" x14ac:dyDescent="0.25">
      <c r="A201" s="3">
        <v>197</v>
      </c>
      <c r="B201" s="4">
        <v>46248</v>
      </c>
      <c r="C201" s="3" t="s">
        <v>18</v>
      </c>
      <c r="D201" s="3" t="s">
        <v>21</v>
      </c>
      <c r="E201" s="3" t="s">
        <v>27</v>
      </c>
      <c r="F201" s="3">
        <v>436</v>
      </c>
      <c r="G201" s="3">
        <v>431</v>
      </c>
      <c r="H201" s="3">
        <v>5</v>
      </c>
      <c r="I201" s="5">
        <f t="shared" si="19"/>
        <v>1.1467889908256881E-2</v>
      </c>
      <c r="J201" s="6">
        <f t="shared" si="20"/>
        <v>11467.889908256881</v>
      </c>
      <c r="K201" s="7">
        <v>0.86</v>
      </c>
      <c r="L201" s="3">
        <v>441</v>
      </c>
      <c r="M201" s="3">
        <v>450</v>
      </c>
      <c r="N201" s="3">
        <v>9</v>
      </c>
      <c r="O201" s="5">
        <f t="shared" si="21"/>
        <v>0.98</v>
      </c>
      <c r="P201" s="5">
        <f t="shared" si="22"/>
        <v>0.85024943310657597</v>
      </c>
      <c r="Q201" s="5">
        <f t="shared" si="23"/>
        <v>0.98853211009174313</v>
      </c>
      <c r="R201" s="5">
        <f t="shared" si="24"/>
        <v>0.82368888888888891</v>
      </c>
    </row>
    <row r="202" spans="1:18" x14ac:dyDescent="0.25">
      <c r="A202" s="3">
        <v>198</v>
      </c>
      <c r="B202" s="4">
        <v>46248</v>
      </c>
      <c r="C202" s="3" t="s">
        <v>18</v>
      </c>
      <c r="D202" s="3" t="s">
        <v>23</v>
      </c>
      <c r="E202" s="3" t="s">
        <v>31</v>
      </c>
      <c r="F202" s="3">
        <v>273</v>
      </c>
      <c r="G202" s="3">
        <v>272</v>
      </c>
      <c r="H202" s="3">
        <v>1</v>
      </c>
      <c r="I202" s="5">
        <f t="shared" si="19"/>
        <v>3.663003663003663E-3</v>
      </c>
      <c r="J202" s="6">
        <f t="shared" si="20"/>
        <v>3663.003663003663</v>
      </c>
      <c r="K202" s="7">
        <v>1.46</v>
      </c>
      <c r="L202" s="3">
        <v>395</v>
      </c>
      <c r="M202" s="3">
        <v>450</v>
      </c>
      <c r="N202" s="3">
        <v>55</v>
      </c>
      <c r="O202" s="5">
        <f t="shared" si="21"/>
        <v>0.87777777777777777</v>
      </c>
      <c r="P202" s="5">
        <f t="shared" si="22"/>
        <v>1.0090632911392405</v>
      </c>
      <c r="Q202" s="5">
        <f t="shared" si="23"/>
        <v>0.99633699633699635</v>
      </c>
      <c r="R202" s="5">
        <f t="shared" si="24"/>
        <v>0.88248888888888899</v>
      </c>
    </row>
    <row r="203" spans="1:18" x14ac:dyDescent="0.25">
      <c r="A203" s="3">
        <v>199</v>
      </c>
      <c r="B203" s="4">
        <v>46248</v>
      </c>
      <c r="C203" s="3" t="s">
        <v>25</v>
      </c>
      <c r="D203" s="3" t="s">
        <v>19</v>
      </c>
      <c r="E203" s="3" t="s">
        <v>31</v>
      </c>
      <c r="F203" s="3">
        <v>812</v>
      </c>
      <c r="G203" s="3">
        <v>807</v>
      </c>
      <c r="H203" s="3">
        <v>5</v>
      </c>
      <c r="I203" s="5">
        <f t="shared" si="19"/>
        <v>6.1576354679802959E-3</v>
      </c>
      <c r="J203" s="6">
        <f t="shared" si="20"/>
        <v>6157.6354679802962</v>
      </c>
      <c r="K203" s="7">
        <v>0.45</v>
      </c>
      <c r="L203" s="3">
        <v>415</v>
      </c>
      <c r="M203" s="3">
        <v>450</v>
      </c>
      <c r="N203" s="3">
        <v>35</v>
      </c>
      <c r="O203" s="5">
        <f t="shared" si="21"/>
        <v>0.92222222222222228</v>
      </c>
      <c r="P203" s="5">
        <f t="shared" si="22"/>
        <v>0.88048192771084344</v>
      </c>
      <c r="Q203" s="5">
        <f t="shared" si="23"/>
        <v>0.99384236453201968</v>
      </c>
      <c r="R203" s="5">
        <f t="shared" si="24"/>
        <v>0.80700000000000005</v>
      </c>
    </row>
    <row r="204" spans="1:18" x14ac:dyDescent="0.25">
      <c r="A204" s="3">
        <v>200</v>
      </c>
      <c r="B204" s="4">
        <v>46248</v>
      </c>
      <c r="C204" s="3" t="s">
        <v>25</v>
      </c>
      <c r="D204" s="3" t="s">
        <v>21</v>
      </c>
      <c r="E204" s="3" t="s">
        <v>20</v>
      </c>
      <c r="F204" s="3">
        <v>479</v>
      </c>
      <c r="G204" s="3">
        <v>474</v>
      </c>
      <c r="H204" s="3">
        <v>5</v>
      </c>
      <c r="I204" s="5">
        <f t="shared" si="19"/>
        <v>1.0438413361169102E-2</v>
      </c>
      <c r="J204" s="6">
        <f t="shared" si="20"/>
        <v>10438.413361169101</v>
      </c>
      <c r="K204" s="7">
        <v>0.73</v>
      </c>
      <c r="L204" s="3">
        <v>421</v>
      </c>
      <c r="M204" s="3">
        <v>450</v>
      </c>
      <c r="N204" s="3">
        <v>29</v>
      </c>
      <c r="O204" s="5">
        <f t="shared" si="21"/>
        <v>0.93555555555555558</v>
      </c>
      <c r="P204" s="5">
        <f t="shared" si="22"/>
        <v>0.83057007125890736</v>
      </c>
      <c r="Q204" s="5">
        <f t="shared" si="23"/>
        <v>0.98956158663883087</v>
      </c>
      <c r="R204" s="5">
        <f t="shared" si="24"/>
        <v>0.76893333333333325</v>
      </c>
    </row>
    <row r="205" spans="1:18" x14ac:dyDescent="0.25">
      <c r="A205" s="3">
        <v>201</v>
      </c>
      <c r="B205" s="4">
        <v>46248</v>
      </c>
      <c r="C205" s="3" t="s">
        <v>25</v>
      </c>
      <c r="D205" s="3" t="s">
        <v>23</v>
      </c>
      <c r="E205" s="3" t="s">
        <v>27</v>
      </c>
      <c r="F205" s="3">
        <v>295</v>
      </c>
      <c r="G205" s="3">
        <v>287</v>
      </c>
      <c r="H205" s="3">
        <v>8</v>
      </c>
      <c r="I205" s="5">
        <f t="shared" si="19"/>
        <v>2.7118644067796609E-2</v>
      </c>
      <c r="J205" s="6">
        <f t="shared" si="20"/>
        <v>27118.644067796609</v>
      </c>
      <c r="K205" s="7">
        <v>1.18</v>
      </c>
      <c r="L205" s="3">
        <v>385</v>
      </c>
      <c r="M205" s="3">
        <v>450</v>
      </c>
      <c r="N205" s="3">
        <v>65</v>
      </c>
      <c r="O205" s="5">
        <f t="shared" si="21"/>
        <v>0.85555555555555551</v>
      </c>
      <c r="P205" s="5">
        <f t="shared" si="22"/>
        <v>0.90415584415584405</v>
      </c>
      <c r="Q205" s="5">
        <f t="shared" si="23"/>
        <v>0.97288135593220337</v>
      </c>
      <c r="R205" s="5">
        <f t="shared" si="24"/>
        <v>0.75257777777777768</v>
      </c>
    </row>
    <row r="206" spans="1:18" x14ac:dyDescent="0.25">
      <c r="A206" s="3">
        <v>202</v>
      </c>
      <c r="B206" s="4">
        <v>46248</v>
      </c>
      <c r="C206" s="3" t="s">
        <v>28</v>
      </c>
      <c r="D206" s="3" t="s">
        <v>19</v>
      </c>
      <c r="E206" s="3" t="s">
        <v>24</v>
      </c>
      <c r="F206" s="3">
        <v>385</v>
      </c>
      <c r="G206" s="3">
        <v>377</v>
      </c>
      <c r="H206" s="3">
        <v>8</v>
      </c>
      <c r="I206" s="5">
        <f t="shared" si="19"/>
        <v>2.0779220779220779E-2</v>
      </c>
      <c r="J206" s="6">
        <f t="shared" si="20"/>
        <v>20779.220779220781</v>
      </c>
      <c r="K206" s="7">
        <v>0.9</v>
      </c>
      <c r="L206" s="3">
        <v>426</v>
      </c>
      <c r="M206" s="3">
        <v>450</v>
      </c>
      <c r="N206" s="3">
        <v>24</v>
      </c>
      <c r="O206" s="5">
        <f t="shared" si="21"/>
        <v>0.94666666666666666</v>
      </c>
      <c r="P206" s="5">
        <f t="shared" si="22"/>
        <v>0.81338028169014087</v>
      </c>
      <c r="Q206" s="5">
        <f t="shared" si="23"/>
        <v>0.97922077922077921</v>
      </c>
      <c r="R206" s="5">
        <f t="shared" si="24"/>
        <v>0.754</v>
      </c>
    </row>
    <row r="207" spans="1:18" x14ac:dyDescent="0.25">
      <c r="A207" s="3">
        <v>203</v>
      </c>
      <c r="B207" s="4">
        <v>46248</v>
      </c>
      <c r="C207" s="3" t="s">
        <v>28</v>
      </c>
      <c r="D207" s="3" t="s">
        <v>21</v>
      </c>
      <c r="E207" s="3" t="s">
        <v>20</v>
      </c>
      <c r="F207" s="3">
        <v>291</v>
      </c>
      <c r="G207" s="3">
        <v>286</v>
      </c>
      <c r="H207" s="3">
        <v>5</v>
      </c>
      <c r="I207" s="5">
        <f t="shared" si="19"/>
        <v>1.7182130584192441E-2</v>
      </c>
      <c r="J207" s="6">
        <f t="shared" si="20"/>
        <v>17182.13058419244</v>
      </c>
      <c r="K207" s="7">
        <v>1.35</v>
      </c>
      <c r="L207" s="3">
        <v>395</v>
      </c>
      <c r="M207" s="3">
        <v>450</v>
      </c>
      <c r="N207" s="3">
        <v>55</v>
      </c>
      <c r="O207" s="5">
        <f t="shared" si="21"/>
        <v>0.87777777777777777</v>
      </c>
      <c r="P207" s="5">
        <f t="shared" si="22"/>
        <v>0.99455696202531652</v>
      </c>
      <c r="Q207" s="5">
        <f t="shared" si="23"/>
        <v>0.98281786941580751</v>
      </c>
      <c r="R207" s="5">
        <f t="shared" si="24"/>
        <v>0.85799999999999998</v>
      </c>
    </row>
    <row r="208" spans="1:18" x14ac:dyDescent="0.25">
      <c r="A208" s="3">
        <v>204</v>
      </c>
      <c r="B208" s="4">
        <v>46248</v>
      </c>
      <c r="C208" s="3" t="s">
        <v>28</v>
      </c>
      <c r="D208" s="3" t="s">
        <v>23</v>
      </c>
      <c r="E208" s="3" t="s">
        <v>31</v>
      </c>
      <c r="F208" s="3">
        <v>285</v>
      </c>
      <c r="G208" s="3">
        <v>283</v>
      </c>
      <c r="H208" s="3">
        <v>2</v>
      </c>
      <c r="I208" s="5">
        <f t="shared" si="19"/>
        <v>7.0175438596491229E-3</v>
      </c>
      <c r="J208" s="6">
        <f t="shared" si="20"/>
        <v>7017.5438596491231</v>
      </c>
      <c r="K208" s="7">
        <v>1.17</v>
      </c>
      <c r="L208" s="3">
        <v>406</v>
      </c>
      <c r="M208" s="3">
        <v>450</v>
      </c>
      <c r="N208" s="3">
        <v>44</v>
      </c>
      <c r="O208" s="5">
        <f t="shared" si="21"/>
        <v>0.90222222222222226</v>
      </c>
      <c r="P208" s="5">
        <f t="shared" si="22"/>
        <v>0.82130541871921181</v>
      </c>
      <c r="Q208" s="5">
        <f t="shared" si="23"/>
        <v>0.99298245614035086</v>
      </c>
      <c r="R208" s="5">
        <f t="shared" si="24"/>
        <v>0.73580000000000001</v>
      </c>
    </row>
    <row r="209" spans="1:18" x14ac:dyDescent="0.25">
      <c r="A209" s="3">
        <v>205</v>
      </c>
      <c r="B209" s="4">
        <v>46248</v>
      </c>
      <c r="C209" s="3" t="s">
        <v>30</v>
      </c>
      <c r="D209" s="3" t="s">
        <v>19</v>
      </c>
      <c r="E209" s="3" t="s">
        <v>22</v>
      </c>
      <c r="F209" s="3">
        <v>266</v>
      </c>
      <c r="G209" s="3">
        <v>257</v>
      </c>
      <c r="H209" s="3">
        <v>9</v>
      </c>
      <c r="I209" s="5">
        <f t="shared" si="19"/>
        <v>3.3834586466165412E-2</v>
      </c>
      <c r="J209" s="6">
        <f t="shared" si="20"/>
        <v>33834.586466165412</v>
      </c>
      <c r="K209" s="7">
        <v>1.41</v>
      </c>
      <c r="L209" s="3">
        <v>441</v>
      </c>
      <c r="M209" s="3">
        <v>450</v>
      </c>
      <c r="N209" s="3">
        <v>9</v>
      </c>
      <c r="O209" s="5">
        <f t="shared" si="21"/>
        <v>0.98</v>
      </c>
      <c r="P209" s="5">
        <f t="shared" si="22"/>
        <v>0.8504761904761905</v>
      </c>
      <c r="Q209" s="5">
        <f t="shared" si="23"/>
        <v>0.96616541353383456</v>
      </c>
      <c r="R209" s="5">
        <f t="shared" si="24"/>
        <v>0.80526666666666669</v>
      </c>
    </row>
    <row r="210" spans="1:18" x14ac:dyDescent="0.25">
      <c r="A210" s="3">
        <v>206</v>
      </c>
      <c r="B210" s="4">
        <v>46248</v>
      </c>
      <c r="C210" s="3" t="s">
        <v>30</v>
      </c>
      <c r="D210" s="3" t="s">
        <v>21</v>
      </c>
      <c r="E210" s="3" t="s">
        <v>24</v>
      </c>
      <c r="F210" s="3">
        <v>846</v>
      </c>
      <c r="G210" s="3">
        <v>840</v>
      </c>
      <c r="H210" s="3">
        <v>6</v>
      </c>
      <c r="I210" s="5">
        <f t="shared" si="19"/>
        <v>7.0921985815602835E-3</v>
      </c>
      <c r="J210" s="6">
        <f t="shared" si="20"/>
        <v>7092.1985815602839</v>
      </c>
      <c r="K210" s="7">
        <v>0.45</v>
      </c>
      <c r="L210" s="3">
        <v>385</v>
      </c>
      <c r="M210" s="3">
        <v>450</v>
      </c>
      <c r="N210" s="3">
        <v>65</v>
      </c>
      <c r="O210" s="5">
        <f t="shared" si="21"/>
        <v>0.85555555555555551</v>
      </c>
      <c r="P210" s="5">
        <f t="shared" si="22"/>
        <v>0.98883116883116884</v>
      </c>
      <c r="Q210" s="5">
        <f t="shared" si="23"/>
        <v>0.99290780141843971</v>
      </c>
      <c r="R210" s="5">
        <f t="shared" si="24"/>
        <v>0.84</v>
      </c>
    </row>
    <row r="211" spans="1:18" x14ac:dyDescent="0.25">
      <c r="A211" s="3">
        <v>207</v>
      </c>
      <c r="B211" s="4">
        <v>46248</v>
      </c>
      <c r="C211" s="3" t="s">
        <v>30</v>
      </c>
      <c r="D211" s="3" t="s">
        <v>23</v>
      </c>
      <c r="E211" s="3" t="s">
        <v>31</v>
      </c>
      <c r="F211" s="3">
        <v>821</v>
      </c>
      <c r="G211" s="3">
        <v>789</v>
      </c>
      <c r="H211" s="3">
        <v>32</v>
      </c>
      <c r="I211" s="5">
        <f t="shared" si="19"/>
        <v>3.8976857490864797E-2</v>
      </c>
      <c r="J211" s="6">
        <f t="shared" si="20"/>
        <v>38976.857490864793</v>
      </c>
      <c r="K211" s="7">
        <v>0.38</v>
      </c>
      <c r="L211" s="3">
        <v>393</v>
      </c>
      <c r="M211" s="3">
        <v>450</v>
      </c>
      <c r="N211" s="3">
        <v>57</v>
      </c>
      <c r="O211" s="5">
        <f t="shared" si="21"/>
        <v>0.87333333333333329</v>
      </c>
      <c r="P211" s="5">
        <f t="shared" si="22"/>
        <v>0.7938422391857507</v>
      </c>
      <c r="Q211" s="5">
        <f t="shared" si="23"/>
        <v>0.96102314250913523</v>
      </c>
      <c r="R211" s="5">
        <f t="shared" si="24"/>
        <v>0.66626666666666678</v>
      </c>
    </row>
    <row r="212" spans="1:18" x14ac:dyDescent="0.25">
      <c r="A212" s="3">
        <v>208</v>
      </c>
      <c r="B212" s="4">
        <v>46248</v>
      </c>
      <c r="C212" s="3" t="s">
        <v>33</v>
      </c>
      <c r="D212" s="3" t="s">
        <v>19</v>
      </c>
      <c r="E212" s="3" t="s">
        <v>32</v>
      </c>
      <c r="F212" s="3">
        <v>535</v>
      </c>
      <c r="G212" s="3">
        <v>516</v>
      </c>
      <c r="H212" s="3">
        <v>19</v>
      </c>
      <c r="I212" s="5">
        <f t="shared" si="19"/>
        <v>3.5514018691588788E-2</v>
      </c>
      <c r="J212" s="6">
        <f t="shared" si="20"/>
        <v>35514.01869158879</v>
      </c>
      <c r="K212" s="7">
        <v>0.69</v>
      </c>
      <c r="L212" s="3">
        <v>417</v>
      </c>
      <c r="M212" s="3">
        <v>450</v>
      </c>
      <c r="N212" s="3">
        <v>33</v>
      </c>
      <c r="O212" s="5">
        <f t="shared" si="21"/>
        <v>0.92666666666666664</v>
      </c>
      <c r="P212" s="5">
        <f t="shared" si="22"/>
        <v>0.88525179856115099</v>
      </c>
      <c r="Q212" s="5">
        <f t="shared" si="23"/>
        <v>0.96448598130841123</v>
      </c>
      <c r="R212" s="5">
        <f t="shared" si="24"/>
        <v>0.7911999999999999</v>
      </c>
    </row>
    <row r="213" spans="1:18" x14ac:dyDescent="0.25">
      <c r="A213" s="3">
        <v>209</v>
      </c>
      <c r="B213" s="4">
        <v>46248</v>
      </c>
      <c r="C213" s="3" t="s">
        <v>33</v>
      </c>
      <c r="D213" s="3" t="s">
        <v>21</v>
      </c>
      <c r="E213" s="3" t="s">
        <v>32</v>
      </c>
      <c r="F213" s="3">
        <v>351</v>
      </c>
      <c r="G213" s="3">
        <v>335</v>
      </c>
      <c r="H213" s="3">
        <v>16</v>
      </c>
      <c r="I213" s="5">
        <f t="shared" si="19"/>
        <v>4.5584045584045586E-2</v>
      </c>
      <c r="J213" s="6">
        <f t="shared" si="20"/>
        <v>45584.045584045583</v>
      </c>
      <c r="K213" s="7">
        <v>1.06</v>
      </c>
      <c r="L213" s="3">
        <v>412</v>
      </c>
      <c r="M213" s="3">
        <v>450</v>
      </c>
      <c r="N213" s="3">
        <v>38</v>
      </c>
      <c r="O213" s="5">
        <f t="shared" si="21"/>
        <v>0.91555555555555557</v>
      </c>
      <c r="P213" s="5">
        <f t="shared" si="22"/>
        <v>0.90305825242718452</v>
      </c>
      <c r="Q213" s="5">
        <f t="shared" si="23"/>
        <v>0.95441595441595439</v>
      </c>
      <c r="R213" s="5">
        <f t="shared" si="24"/>
        <v>0.78911111111111121</v>
      </c>
    </row>
    <row r="214" spans="1:18" x14ac:dyDescent="0.25">
      <c r="A214" s="3">
        <v>210</v>
      </c>
      <c r="B214" s="4">
        <v>46248</v>
      </c>
      <c r="C214" s="3" t="s">
        <v>33</v>
      </c>
      <c r="D214" s="3" t="s">
        <v>23</v>
      </c>
      <c r="E214" s="3" t="s">
        <v>26</v>
      </c>
      <c r="F214" s="3">
        <v>571</v>
      </c>
      <c r="G214" s="3">
        <v>558</v>
      </c>
      <c r="H214" s="3">
        <v>13</v>
      </c>
      <c r="I214" s="5">
        <f t="shared" si="19"/>
        <v>2.276707530647986E-2</v>
      </c>
      <c r="J214" s="6">
        <f t="shared" si="20"/>
        <v>22767.075306479859</v>
      </c>
      <c r="K214" s="7">
        <v>0.56999999999999995</v>
      </c>
      <c r="L214" s="3">
        <v>411</v>
      </c>
      <c r="M214" s="3">
        <v>450</v>
      </c>
      <c r="N214" s="3">
        <v>39</v>
      </c>
      <c r="O214" s="5">
        <f t="shared" si="21"/>
        <v>0.91333333333333333</v>
      </c>
      <c r="P214" s="5">
        <f t="shared" si="22"/>
        <v>0.79189781021897798</v>
      </c>
      <c r="Q214" s="5">
        <f t="shared" si="23"/>
        <v>0.97723292469352019</v>
      </c>
      <c r="R214" s="5">
        <f t="shared" si="24"/>
        <v>0.70679999999999987</v>
      </c>
    </row>
    <row r="215" spans="1:18" x14ac:dyDescent="0.25">
      <c r="A215" s="3">
        <v>211</v>
      </c>
      <c r="B215" s="4">
        <v>46249</v>
      </c>
      <c r="C215" s="3" t="s">
        <v>18</v>
      </c>
      <c r="D215" s="3" t="s">
        <v>19</v>
      </c>
      <c r="E215" s="3" t="s">
        <v>20</v>
      </c>
      <c r="F215" s="3">
        <v>227</v>
      </c>
      <c r="G215" s="3">
        <v>220</v>
      </c>
      <c r="H215" s="3">
        <v>7</v>
      </c>
      <c r="I215" s="5">
        <f t="shared" si="19"/>
        <v>3.0837004405286344E-2</v>
      </c>
      <c r="J215" s="6">
        <f t="shared" si="20"/>
        <v>30837.004405286345</v>
      </c>
      <c r="K215" s="7">
        <v>1.64</v>
      </c>
      <c r="L215" s="3">
        <v>395</v>
      </c>
      <c r="M215" s="3">
        <v>450</v>
      </c>
      <c r="N215" s="3">
        <v>55</v>
      </c>
      <c r="O215" s="5">
        <f t="shared" si="21"/>
        <v>0.87777777777777777</v>
      </c>
      <c r="P215" s="5">
        <f t="shared" si="22"/>
        <v>0.94248101265822781</v>
      </c>
      <c r="Q215" s="5">
        <f t="shared" si="23"/>
        <v>0.96916299559471364</v>
      </c>
      <c r="R215" s="5">
        <f t="shared" si="24"/>
        <v>0.8017777777777777</v>
      </c>
    </row>
    <row r="216" spans="1:18" x14ac:dyDescent="0.25">
      <c r="A216" s="3">
        <v>212</v>
      </c>
      <c r="B216" s="4">
        <v>46249</v>
      </c>
      <c r="C216" s="3" t="s">
        <v>18</v>
      </c>
      <c r="D216" s="3" t="s">
        <v>21</v>
      </c>
      <c r="E216" s="3" t="s">
        <v>31</v>
      </c>
      <c r="F216" s="3">
        <v>471</v>
      </c>
      <c r="G216" s="3">
        <v>459</v>
      </c>
      <c r="H216" s="3">
        <v>12</v>
      </c>
      <c r="I216" s="5">
        <f t="shared" si="19"/>
        <v>2.5477707006369428E-2</v>
      </c>
      <c r="J216" s="6">
        <f t="shared" si="20"/>
        <v>25477.707006369426</v>
      </c>
      <c r="K216" s="7">
        <v>0.73</v>
      </c>
      <c r="L216" s="3">
        <v>395</v>
      </c>
      <c r="M216" s="3">
        <v>450</v>
      </c>
      <c r="N216" s="3">
        <v>55</v>
      </c>
      <c r="O216" s="5">
        <f t="shared" si="21"/>
        <v>0.87777777777777777</v>
      </c>
      <c r="P216" s="5">
        <f t="shared" si="22"/>
        <v>0.8704556962025316</v>
      </c>
      <c r="Q216" s="5">
        <f t="shared" si="23"/>
        <v>0.97452229299363058</v>
      </c>
      <c r="R216" s="5">
        <f t="shared" si="24"/>
        <v>0.74460000000000004</v>
      </c>
    </row>
    <row r="217" spans="1:18" x14ac:dyDescent="0.25">
      <c r="A217" s="3">
        <v>213</v>
      </c>
      <c r="B217" s="4">
        <v>46249</v>
      </c>
      <c r="C217" s="3" t="s">
        <v>18</v>
      </c>
      <c r="D217" s="3" t="s">
        <v>23</v>
      </c>
      <c r="E217" s="3" t="s">
        <v>26</v>
      </c>
      <c r="F217" s="3">
        <v>354</v>
      </c>
      <c r="G217" s="3">
        <v>348</v>
      </c>
      <c r="H217" s="3">
        <v>6</v>
      </c>
      <c r="I217" s="5">
        <f t="shared" si="19"/>
        <v>1.6949152542372881E-2</v>
      </c>
      <c r="J217" s="6">
        <f t="shared" si="20"/>
        <v>16949.152542372882</v>
      </c>
      <c r="K217" s="7">
        <v>1.02</v>
      </c>
      <c r="L217" s="3">
        <v>420</v>
      </c>
      <c r="M217" s="3">
        <v>450</v>
      </c>
      <c r="N217" s="3">
        <v>30</v>
      </c>
      <c r="O217" s="5">
        <f t="shared" si="21"/>
        <v>0.93333333333333335</v>
      </c>
      <c r="P217" s="5">
        <f t="shared" si="22"/>
        <v>0.85971428571428565</v>
      </c>
      <c r="Q217" s="5">
        <f t="shared" si="23"/>
        <v>0.98305084745762716</v>
      </c>
      <c r="R217" s="5">
        <f t="shared" si="24"/>
        <v>0.78880000000000006</v>
      </c>
    </row>
    <row r="218" spans="1:18" x14ac:dyDescent="0.25">
      <c r="A218" s="3">
        <v>214</v>
      </c>
      <c r="B218" s="4">
        <v>46249</v>
      </c>
      <c r="C218" s="3" t="s">
        <v>25</v>
      </c>
      <c r="D218" s="3" t="s">
        <v>19</v>
      </c>
      <c r="E218" s="3" t="s">
        <v>20</v>
      </c>
      <c r="F218" s="3">
        <v>452</v>
      </c>
      <c r="G218" s="3">
        <v>434</v>
      </c>
      <c r="H218" s="3">
        <v>18</v>
      </c>
      <c r="I218" s="5">
        <f t="shared" si="19"/>
        <v>3.9823008849557522E-2</v>
      </c>
      <c r="J218" s="6">
        <f t="shared" si="20"/>
        <v>39823.008849557518</v>
      </c>
      <c r="K218" s="7">
        <v>0.71</v>
      </c>
      <c r="L218" s="3">
        <v>393</v>
      </c>
      <c r="M218" s="3">
        <v>450</v>
      </c>
      <c r="N218" s="3">
        <v>57</v>
      </c>
      <c r="O218" s="5">
        <f t="shared" si="21"/>
        <v>0.87333333333333329</v>
      </c>
      <c r="P218" s="5">
        <f t="shared" si="22"/>
        <v>0.81659033078880394</v>
      </c>
      <c r="Q218" s="5">
        <f t="shared" si="23"/>
        <v>0.96017699115044253</v>
      </c>
      <c r="R218" s="5">
        <f t="shared" si="24"/>
        <v>0.68475555555555545</v>
      </c>
    </row>
    <row r="219" spans="1:18" x14ac:dyDescent="0.25">
      <c r="A219" s="3">
        <v>215</v>
      </c>
      <c r="B219" s="4">
        <v>46249</v>
      </c>
      <c r="C219" s="3" t="s">
        <v>25</v>
      </c>
      <c r="D219" s="3" t="s">
        <v>21</v>
      </c>
      <c r="E219" s="3" t="s">
        <v>24</v>
      </c>
      <c r="F219" s="3">
        <v>282</v>
      </c>
      <c r="G219" s="3">
        <v>273</v>
      </c>
      <c r="H219" s="3">
        <v>9</v>
      </c>
      <c r="I219" s="5">
        <f t="shared" si="19"/>
        <v>3.1914893617021274E-2</v>
      </c>
      <c r="J219" s="6">
        <f t="shared" si="20"/>
        <v>31914.893617021273</v>
      </c>
      <c r="K219" s="7">
        <v>1.22</v>
      </c>
      <c r="L219" s="3">
        <v>423</v>
      </c>
      <c r="M219" s="3">
        <v>450</v>
      </c>
      <c r="N219" s="3">
        <v>27</v>
      </c>
      <c r="O219" s="5">
        <f t="shared" si="21"/>
        <v>0.94</v>
      </c>
      <c r="P219" s="5">
        <f t="shared" si="22"/>
        <v>0.81333333333333335</v>
      </c>
      <c r="Q219" s="5">
        <f t="shared" si="23"/>
        <v>0.96808510638297873</v>
      </c>
      <c r="R219" s="5">
        <f t="shared" si="24"/>
        <v>0.74013333333333331</v>
      </c>
    </row>
    <row r="220" spans="1:18" x14ac:dyDescent="0.25">
      <c r="A220" s="3">
        <v>216</v>
      </c>
      <c r="B220" s="4">
        <v>46249</v>
      </c>
      <c r="C220" s="3" t="s">
        <v>25</v>
      </c>
      <c r="D220" s="3" t="s">
        <v>23</v>
      </c>
      <c r="E220" s="3" t="s">
        <v>31</v>
      </c>
      <c r="F220" s="3">
        <v>227</v>
      </c>
      <c r="G220" s="3">
        <v>226</v>
      </c>
      <c r="H220" s="3">
        <v>1</v>
      </c>
      <c r="I220" s="5">
        <f t="shared" si="19"/>
        <v>4.4052863436123352E-3</v>
      </c>
      <c r="J220" s="6">
        <f t="shared" si="20"/>
        <v>4405.2863436123353</v>
      </c>
      <c r="K220" s="7">
        <v>1.58</v>
      </c>
      <c r="L220" s="3">
        <v>440</v>
      </c>
      <c r="M220" s="3">
        <v>450</v>
      </c>
      <c r="N220" s="3">
        <v>10</v>
      </c>
      <c r="O220" s="5">
        <f t="shared" si="21"/>
        <v>0.97777777777777775</v>
      </c>
      <c r="P220" s="5">
        <f t="shared" si="22"/>
        <v>0.81513636363636366</v>
      </c>
      <c r="Q220" s="5">
        <f t="shared" si="23"/>
        <v>0.99559471365638763</v>
      </c>
      <c r="R220" s="5">
        <f t="shared" si="24"/>
        <v>0.79351111111111106</v>
      </c>
    </row>
    <row r="221" spans="1:18" x14ac:dyDescent="0.25">
      <c r="A221" s="3">
        <v>217</v>
      </c>
      <c r="B221" s="4">
        <v>46249</v>
      </c>
      <c r="C221" s="3" t="s">
        <v>28</v>
      </c>
      <c r="D221" s="3" t="s">
        <v>19</v>
      </c>
      <c r="E221" s="3" t="s">
        <v>20</v>
      </c>
      <c r="F221" s="3">
        <v>995</v>
      </c>
      <c r="G221" s="3">
        <v>951</v>
      </c>
      <c r="H221" s="3">
        <v>44</v>
      </c>
      <c r="I221" s="5">
        <f t="shared" si="19"/>
        <v>4.4221105527638194E-2</v>
      </c>
      <c r="J221" s="6">
        <f t="shared" si="20"/>
        <v>44221.105527638196</v>
      </c>
      <c r="K221" s="7">
        <v>0.42</v>
      </c>
      <c r="L221" s="3">
        <v>431</v>
      </c>
      <c r="M221" s="3">
        <v>450</v>
      </c>
      <c r="N221" s="3">
        <v>19</v>
      </c>
      <c r="O221" s="5">
        <f t="shared" si="21"/>
        <v>0.95777777777777773</v>
      </c>
      <c r="P221" s="5">
        <f t="shared" si="22"/>
        <v>0.96960556844547563</v>
      </c>
      <c r="Q221" s="5">
        <f t="shared" si="23"/>
        <v>0.95577889447236186</v>
      </c>
      <c r="R221" s="5">
        <f t="shared" si="24"/>
        <v>0.88760000000000006</v>
      </c>
    </row>
    <row r="222" spans="1:18" x14ac:dyDescent="0.25">
      <c r="A222" s="3">
        <v>218</v>
      </c>
      <c r="B222" s="4">
        <v>46249</v>
      </c>
      <c r="C222" s="3" t="s">
        <v>28</v>
      </c>
      <c r="D222" s="3" t="s">
        <v>21</v>
      </c>
      <c r="E222" s="3" t="s">
        <v>31</v>
      </c>
      <c r="F222" s="3">
        <v>807</v>
      </c>
      <c r="G222" s="3">
        <v>785</v>
      </c>
      <c r="H222" s="3">
        <v>22</v>
      </c>
      <c r="I222" s="5">
        <f t="shared" si="19"/>
        <v>2.7261462205700124E-2</v>
      </c>
      <c r="J222" s="6">
        <f t="shared" si="20"/>
        <v>27261.462205700125</v>
      </c>
      <c r="K222" s="7">
        <v>0.42</v>
      </c>
      <c r="L222" s="3">
        <v>425</v>
      </c>
      <c r="M222" s="3">
        <v>450</v>
      </c>
      <c r="N222" s="3">
        <v>25</v>
      </c>
      <c r="O222" s="5">
        <f t="shared" si="21"/>
        <v>0.94444444444444442</v>
      </c>
      <c r="P222" s="5">
        <f t="shared" si="22"/>
        <v>0.79750588235294118</v>
      </c>
      <c r="Q222" s="5">
        <f t="shared" si="23"/>
        <v>0.97273853779429986</v>
      </c>
      <c r="R222" s="5">
        <f t="shared" si="24"/>
        <v>0.73266666666666669</v>
      </c>
    </row>
    <row r="223" spans="1:18" x14ac:dyDescent="0.25">
      <c r="A223" s="3">
        <v>219</v>
      </c>
      <c r="B223" s="4">
        <v>46249</v>
      </c>
      <c r="C223" s="3" t="s">
        <v>28</v>
      </c>
      <c r="D223" s="3" t="s">
        <v>23</v>
      </c>
      <c r="E223" s="3" t="s">
        <v>22</v>
      </c>
      <c r="F223" s="3">
        <v>239</v>
      </c>
      <c r="G223" s="3">
        <v>238</v>
      </c>
      <c r="H223" s="3">
        <v>1</v>
      </c>
      <c r="I223" s="5">
        <f t="shared" si="19"/>
        <v>4.1841004184100415E-3</v>
      </c>
      <c r="J223" s="6">
        <f t="shared" si="20"/>
        <v>4184.1004184100411</v>
      </c>
      <c r="K223" s="7">
        <v>1.45</v>
      </c>
      <c r="L223" s="3">
        <v>400</v>
      </c>
      <c r="M223" s="3">
        <v>450</v>
      </c>
      <c r="N223" s="3">
        <v>50</v>
      </c>
      <c r="O223" s="5">
        <f t="shared" si="21"/>
        <v>0.88888888888888884</v>
      </c>
      <c r="P223" s="5">
        <f t="shared" si="22"/>
        <v>0.86637500000000001</v>
      </c>
      <c r="Q223" s="5">
        <f t="shared" si="23"/>
        <v>0.99581589958159</v>
      </c>
      <c r="R223" s="5">
        <f t="shared" si="24"/>
        <v>0.76688888888888884</v>
      </c>
    </row>
    <row r="224" spans="1:18" x14ac:dyDescent="0.25">
      <c r="A224" s="3">
        <v>220</v>
      </c>
      <c r="B224" s="4">
        <v>46249</v>
      </c>
      <c r="C224" s="3" t="s">
        <v>30</v>
      </c>
      <c r="D224" s="3" t="s">
        <v>19</v>
      </c>
      <c r="E224" s="3" t="s">
        <v>35</v>
      </c>
      <c r="F224" s="3">
        <v>302</v>
      </c>
      <c r="G224" s="3">
        <v>299</v>
      </c>
      <c r="H224" s="3">
        <v>3</v>
      </c>
      <c r="I224" s="5">
        <f t="shared" si="19"/>
        <v>9.9337748344370865E-3</v>
      </c>
      <c r="J224" s="6">
        <f t="shared" si="20"/>
        <v>9933.7748344370866</v>
      </c>
      <c r="K224" s="7">
        <v>1.21</v>
      </c>
      <c r="L224" s="3">
        <v>433</v>
      </c>
      <c r="M224" s="3">
        <v>450</v>
      </c>
      <c r="N224" s="3">
        <v>17</v>
      </c>
      <c r="O224" s="5">
        <f t="shared" si="21"/>
        <v>0.9622222222222222</v>
      </c>
      <c r="P224" s="5">
        <f t="shared" si="22"/>
        <v>0.84392609699769061</v>
      </c>
      <c r="Q224" s="5">
        <f t="shared" si="23"/>
        <v>0.99006622516556286</v>
      </c>
      <c r="R224" s="5">
        <f t="shared" si="24"/>
        <v>0.80397777777777779</v>
      </c>
    </row>
    <row r="225" spans="1:18" x14ac:dyDescent="0.25">
      <c r="A225" s="3">
        <v>221</v>
      </c>
      <c r="B225" s="4">
        <v>46249</v>
      </c>
      <c r="C225" s="3" t="s">
        <v>30</v>
      </c>
      <c r="D225" s="3" t="s">
        <v>21</v>
      </c>
      <c r="E225" s="3" t="s">
        <v>29</v>
      </c>
      <c r="F225" s="3">
        <v>667</v>
      </c>
      <c r="G225" s="3">
        <v>648</v>
      </c>
      <c r="H225" s="3">
        <v>19</v>
      </c>
      <c r="I225" s="5">
        <f t="shared" si="19"/>
        <v>2.8485757121439279E-2</v>
      </c>
      <c r="J225" s="6">
        <f t="shared" si="20"/>
        <v>28485.757121439277</v>
      </c>
      <c r="K225" s="7">
        <v>0.53</v>
      </c>
      <c r="L225" s="3">
        <v>385</v>
      </c>
      <c r="M225" s="3">
        <v>450</v>
      </c>
      <c r="N225" s="3">
        <v>65</v>
      </c>
      <c r="O225" s="5">
        <f t="shared" si="21"/>
        <v>0.85555555555555551</v>
      </c>
      <c r="P225" s="5">
        <f t="shared" si="22"/>
        <v>0.91820779220779214</v>
      </c>
      <c r="Q225" s="5">
        <f t="shared" si="23"/>
        <v>0.9715142428785607</v>
      </c>
      <c r="R225" s="5">
        <f t="shared" si="24"/>
        <v>0.76319999999999988</v>
      </c>
    </row>
    <row r="226" spans="1:18" x14ac:dyDescent="0.25">
      <c r="A226" s="3">
        <v>222</v>
      </c>
      <c r="B226" s="4">
        <v>46249</v>
      </c>
      <c r="C226" s="3" t="s">
        <v>30</v>
      </c>
      <c r="D226" s="3" t="s">
        <v>23</v>
      </c>
      <c r="E226" s="3" t="s">
        <v>32</v>
      </c>
      <c r="F226" s="3">
        <v>269</v>
      </c>
      <c r="G226" s="3">
        <v>259</v>
      </c>
      <c r="H226" s="3">
        <v>10</v>
      </c>
      <c r="I226" s="5">
        <f t="shared" si="19"/>
        <v>3.717472118959108E-2</v>
      </c>
      <c r="J226" s="6">
        <f t="shared" si="20"/>
        <v>37174.72118959108</v>
      </c>
      <c r="K226" s="7">
        <v>1.5</v>
      </c>
      <c r="L226" s="3">
        <v>403</v>
      </c>
      <c r="M226" s="3">
        <v>450</v>
      </c>
      <c r="N226" s="3">
        <v>47</v>
      </c>
      <c r="O226" s="5">
        <f t="shared" si="21"/>
        <v>0.89555555555555555</v>
      </c>
      <c r="P226" s="5">
        <f t="shared" si="22"/>
        <v>1.001240694789082</v>
      </c>
      <c r="Q226" s="5">
        <f t="shared" si="23"/>
        <v>0.96282527881040891</v>
      </c>
      <c r="R226" s="5">
        <f t="shared" si="24"/>
        <v>0.8633333333333334</v>
      </c>
    </row>
    <row r="227" spans="1:18" x14ac:dyDescent="0.25">
      <c r="A227" s="3">
        <v>223</v>
      </c>
      <c r="B227" s="4">
        <v>46249</v>
      </c>
      <c r="C227" s="3" t="s">
        <v>33</v>
      </c>
      <c r="D227" s="3" t="s">
        <v>19</v>
      </c>
      <c r="E227" s="3" t="s">
        <v>35</v>
      </c>
      <c r="F227" s="3">
        <v>517</v>
      </c>
      <c r="G227" s="3">
        <v>509</v>
      </c>
      <c r="H227" s="3">
        <v>8</v>
      </c>
      <c r="I227" s="5">
        <f t="shared" si="19"/>
        <v>1.5473887814313346E-2</v>
      </c>
      <c r="J227" s="6">
        <f t="shared" si="20"/>
        <v>15473.887814313346</v>
      </c>
      <c r="K227" s="7">
        <v>0.71</v>
      </c>
      <c r="L227" s="3">
        <v>400</v>
      </c>
      <c r="M227" s="3">
        <v>450</v>
      </c>
      <c r="N227" s="3">
        <v>50</v>
      </c>
      <c r="O227" s="5">
        <f t="shared" si="21"/>
        <v>0.88888888888888884</v>
      </c>
      <c r="P227" s="5">
        <f t="shared" si="22"/>
        <v>0.91767500000000002</v>
      </c>
      <c r="Q227" s="5">
        <f t="shared" si="23"/>
        <v>0.98452611218568664</v>
      </c>
      <c r="R227" s="5">
        <f t="shared" si="24"/>
        <v>0.80308888888888885</v>
      </c>
    </row>
    <row r="228" spans="1:18" x14ac:dyDescent="0.25">
      <c r="A228" s="3">
        <v>224</v>
      </c>
      <c r="B228" s="4">
        <v>46249</v>
      </c>
      <c r="C228" s="3" t="s">
        <v>33</v>
      </c>
      <c r="D228" s="3" t="s">
        <v>21</v>
      </c>
      <c r="E228" s="3" t="s">
        <v>20</v>
      </c>
      <c r="F228" s="3">
        <v>472</v>
      </c>
      <c r="G228" s="3">
        <v>451</v>
      </c>
      <c r="H228" s="3">
        <v>21</v>
      </c>
      <c r="I228" s="5">
        <f t="shared" si="19"/>
        <v>4.4491525423728813E-2</v>
      </c>
      <c r="J228" s="6">
        <f t="shared" si="20"/>
        <v>44491.52542372881</v>
      </c>
      <c r="K228" s="7">
        <v>0.83</v>
      </c>
      <c r="L228" s="3">
        <v>413</v>
      </c>
      <c r="M228" s="3">
        <v>450</v>
      </c>
      <c r="N228" s="3">
        <v>37</v>
      </c>
      <c r="O228" s="5">
        <f t="shared" si="21"/>
        <v>0.9177777777777778</v>
      </c>
      <c r="P228" s="5">
        <f t="shared" si="22"/>
        <v>0.94857142857142851</v>
      </c>
      <c r="Q228" s="5">
        <f t="shared" si="23"/>
        <v>0.95550847457627119</v>
      </c>
      <c r="R228" s="5">
        <f t="shared" si="24"/>
        <v>0.8318444444444445</v>
      </c>
    </row>
    <row r="229" spans="1:18" x14ac:dyDescent="0.25">
      <c r="A229" s="3">
        <v>225</v>
      </c>
      <c r="B229" s="4">
        <v>46249</v>
      </c>
      <c r="C229" s="3" t="s">
        <v>33</v>
      </c>
      <c r="D229" s="3" t="s">
        <v>23</v>
      </c>
      <c r="E229" s="3" t="s">
        <v>29</v>
      </c>
      <c r="F229" s="3">
        <v>374</v>
      </c>
      <c r="G229" s="3">
        <v>365</v>
      </c>
      <c r="H229" s="3">
        <v>9</v>
      </c>
      <c r="I229" s="5">
        <f t="shared" si="19"/>
        <v>2.4064171122994651E-2</v>
      </c>
      <c r="J229" s="6">
        <f t="shared" si="20"/>
        <v>24064.171122994652</v>
      </c>
      <c r="K229" s="7">
        <v>0.95</v>
      </c>
      <c r="L229" s="3">
        <v>389</v>
      </c>
      <c r="M229" s="3">
        <v>450</v>
      </c>
      <c r="N229" s="3">
        <v>61</v>
      </c>
      <c r="O229" s="5">
        <f t="shared" si="21"/>
        <v>0.86444444444444446</v>
      </c>
      <c r="P229" s="5">
        <f t="shared" si="22"/>
        <v>0.91336760925449878</v>
      </c>
      <c r="Q229" s="5">
        <f t="shared" si="23"/>
        <v>0.97593582887700536</v>
      </c>
      <c r="R229" s="5">
        <f t="shared" si="24"/>
        <v>0.77055555555555566</v>
      </c>
    </row>
    <row r="230" spans="1:18" x14ac:dyDescent="0.25">
      <c r="A230" s="3">
        <v>226</v>
      </c>
      <c r="B230" s="4">
        <v>46250</v>
      </c>
      <c r="C230" s="3" t="s">
        <v>18</v>
      </c>
      <c r="D230" s="3" t="s">
        <v>19</v>
      </c>
      <c r="E230" s="3" t="s">
        <v>35</v>
      </c>
      <c r="F230" s="3">
        <v>754</v>
      </c>
      <c r="G230" s="3">
        <v>750</v>
      </c>
      <c r="H230" s="3">
        <v>4</v>
      </c>
      <c r="I230" s="5">
        <f t="shared" si="19"/>
        <v>5.3050397877984082E-3</v>
      </c>
      <c r="J230" s="6">
        <f t="shared" si="20"/>
        <v>5305.0397877984078</v>
      </c>
      <c r="K230" s="7">
        <v>0.51</v>
      </c>
      <c r="L230" s="3">
        <v>422</v>
      </c>
      <c r="M230" s="3">
        <v>450</v>
      </c>
      <c r="N230" s="3">
        <v>28</v>
      </c>
      <c r="O230" s="5">
        <f t="shared" si="21"/>
        <v>0.93777777777777782</v>
      </c>
      <c r="P230" s="5">
        <f t="shared" si="22"/>
        <v>0.91123222748815169</v>
      </c>
      <c r="Q230" s="5">
        <f t="shared" si="23"/>
        <v>0.99469496021220161</v>
      </c>
      <c r="R230" s="5">
        <f t="shared" si="24"/>
        <v>0.85000000000000009</v>
      </c>
    </row>
    <row r="231" spans="1:18" x14ac:dyDescent="0.25">
      <c r="A231" s="3">
        <v>227</v>
      </c>
      <c r="B231" s="4">
        <v>46250</v>
      </c>
      <c r="C231" s="3" t="s">
        <v>18</v>
      </c>
      <c r="D231" s="3" t="s">
        <v>21</v>
      </c>
      <c r="E231" s="3" t="s">
        <v>22</v>
      </c>
      <c r="F231" s="3">
        <v>205</v>
      </c>
      <c r="G231" s="3">
        <v>203</v>
      </c>
      <c r="H231" s="3">
        <v>2</v>
      </c>
      <c r="I231" s="5">
        <f t="shared" si="19"/>
        <v>9.7560975609756097E-3</v>
      </c>
      <c r="J231" s="6">
        <f t="shared" si="20"/>
        <v>9756.0975609756097</v>
      </c>
      <c r="K231" s="7">
        <v>1.7</v>
      </c>
      <c r="L231" s="3">
        <v>431</v>
      </c>
      <c r="M231" s="3">
        <v>450</v>
      </c>
      <c r="N231" s="3">
        <v>19</v>
      </c>
      <c r="O231" s="5">
        <f t="shared" si="21"/>
        <v>0.95777777777777773</v>
      </c>
      <c r="P231" s="5">
        <f t="shared" si="22"/>
        <v>0.808584686774942</v>
      </c>
      <c r="Q231" s="5">
        <f t="shared" si="23"/>
        <v>0.99024390243902438</v>
      </c>
      <c r="R231" s="5">
        <f t="shared" si="24"/>
        <v>0.76688888888888884</v>
      </c>
    </row>
    <row r="232" spans="1:18" x14ac:dyDescent="0.25">
      <c r="A232" s="3">
        <v>228</v>
      </c>
      <c r="B232" s="4">
        <v>46250</v>
      </c>
      <c r="C232" s="3" t="s">
        <v>18</v>
      </c>
      <c r="D232" s="3" t="s">
        <v>23</v>
      </c>
      <c r="E232" s="3" t="s">
        <v>32</v>
      </c>
      <c r="F232" s="3">
        <v>271</v>
      </c>
      <c r="G232" s="3">
        <v>262</v>
      </c>
      <c r="H232" s="3">
        <v>9</v>
      </c>
      <c r="I232" s="5">
        <f t="shared" si="19"/>
        <v>3.3210332103321034E-2</v>
      </c>
      <c r="J232" s="6">
        <f t="shared" si="20"/>
        <v>33210.332103321038</v>
      </c>
      <c r="K232" s="7">
        <v>1.46</v>
      </c>
      <c r="L232" s="3">
        <v>394</v>
      </c>
      <c r="M232" s="3">
        <v>450</v>
      </c>
      <c r="N232" s="3">
        <v>56</v>
      </c>
      <c r="O232" s="5">
        <f t="shared" si="21"/>
        <v>0.87555555555555553</v>
      </c>
      <c r="P232" s="5">
        <f t="shared" si="22"/>
        <v>1.004213197969543</v>
      </c>
      <c r="Q232" s="5">
        <f t="shared" si="23"/>
        <v>0.96678966789667897</v>
      </c>
      <c r="R232" s="5">
        <f t="shared" si="24"/>
        <v>0.85004444444444427</v>
      </c>
    </row>
    <row r="233" spans="1:18" x14ac:dyDescent="0.25">
      <c r="A233" s="3">
        <v>229</v>
      </c>
      <c r="B233" s="4">
        <v>46250</v>
      </c>
      <c r="C233" s="3" t="s">
        <v>25</v>
      </c>
      <c r="D233" s="3" t="s">
        <v>19</v>
      </c>
      <c r="E233" s="3" t="s">
        <v>34</v>
      </c>
      <c r="F233" s="3">
        <v>931</v>
      </c>
      <c r="G233" s="3">
        <v>904</v>
      </c>
      <c r="H233" s="3">
        <v>27</v>
      </c>
      <c r="I233" s="5">
        <f t="shared" si="19"/>
        <v>2.9001074113856069E-2</v>
      </c>
      <c r="J233" s="6">
        <f t="shared" si="20"/>
        <v>29001.07411385607</v>
      </c>
      <c r="K233" s="7">
        <v>0.45</v>
      </c>
      <c r="L233" s="3">
        <v>440</v>
      </c>
      <c r="M233" s="3">
        <v>450</v>
      </c>
      <c r="N233" s="3">
        <v>10</v>
      </c>
      <c r="O233" s="5">
        <f t="shared" si="21"/>
        <v>0.97777777777777775</v>
      </c>
      <c r="P233" s="5">
        <f t="shared" si="22"/>
        <v>0.9521590909090909</v>
      </c>
      <c r="Q233" s="5">
        <f t="shared" si="23"/>
        <v>0.97099892588614389</v>
      </c>
      <c r="R233" s="5">
        <f t="shared" si="24"/>
        <v>0.90399999999999991</v>
      </c>
    </row>
    <row r="234" spans="1:18" x14ac:dyDescent="0.25">
      <c r="A234" s="3">
        <v>230</v>
      </c>
      <c r="B234" s="4">
        <v>46250</v>
      </c>
      <c r="C234" s="3" t="s">
        <v>25</v>
      </c>
      <c r="D234" s="3" t="s">
        <v>21</v>
      </c>
      <c r="E234" s="3" t="s">
        <v>20</v>
      </c>
      <c r="F234" s="3">
        <v>292</v>
      </c>
      <c r="G234" s="3">
        <v>284</v>
      </c>
      <c r="H234" s="3">
        <v>8</v>
      </c>
      <c r="I234" s="5">
        <f t="shared" si="19"/>
        <v>2.7397260273972601E-2</v>
      </c>
      <c r="J234" s="6">
        <f t="shared" si="20"/>
        <v>27397.260273972603</v>
      </c>
      <c r="K234" s="7">
        <v>1.45</v>
      </c>
      <c r="L234" s="3">
        <v>442</v>
      </c>
      <c r="M234" s="3">
        <v>450</v>
      </c>
      <c r="N234" s="3">
        <v>8</v>
      </c>
      <c r="O234" s="5">
        <f t="shared" si="21"/>
        <v>0.98222222222222222</v>
      </c>
      <c r="P234" s="5">
        <f t="shared" si="22"/>
        <v>0.95791855203619902</v>
      </c>
      <c r="Q234" s="5">
        <f t="shared" si="23"/>
        <v>0.9726027397260274</v>
      </c>
      <c r="R234" s="5">
        <f t="shared" si="24"/>
        <v>0.91511111111111099</v>
      </c>
    </row>
    <row r="235" spans="1:18" x14ac:dyDescent="0.25">
      <c r="A235" s="3">
        <v>231</v>
      </c>
      <c r="B235" s="4">
        <v>46250</v>
      </c>
      <c r="C235" s="3" t="s">
        <v>25</v>
      </c>
      <c r="D235" s="3" t="s">
        <v>23</v>
      </c>
      <c r="E235" s="3" t="s">
        <v>32</v>
      </c>
      <c r="F235" s="3">
        <v>459</v>
      </c>
      <c r="G235" s="3">
        <v>439</v>
      </c>
      <c r="H235" s="3">
        <v>20</v>
      </c>
      <c r="I235" s="5">
        <f t="shared" si="19"/>
        <v>4.357298474945534E-2</v>
      </c>
      <c r="J235" s="6">
        <f t="shared" si="20"/>
        <v>43572.98474945534</v>
      </c>
      <c r="K235" s="7">
        <v>0.82</v>
      </c>
      <c r="L235" s="3">
        <v>395</v>
      </c>
      <c r="M235" s="3">
        <v>450</v>
      </c>
      <c r="N235" s="3">
        <v>55</v>
      </c>
      <c r="O235" s="5">
        <f t="shared" si="21"/>
        <v>0.87777777777777777</v>
      </c>
      <c r="P235" s="5">
        <f t="shared" si="22"/>
        <v>0.95286075949367088</v>
      </c>
      <c r="Q235" s="5">
        <f t="shared" si="23"/>
        <v>0.95642701525054463</v>
      </c>
      <c r="R235" s="5">
        <f t="shared" si="24"/>
        <v>0.79995555555555553</v>
      </c>
    </row>
    <row r="236" spans="1:18" x14ac:dyDescent="0.25">
      <c r="A236" s="3">
        <v>232</v>
      </c>
      <c r="B236" s="4">
        <v>46250</v>
      </c>
      <c r="C236" s="3" t="s">
        <v>28</v>
      </c>
      <c r="D236" s="3" t="s">
        <v>19</v>
      </c>
      <c r="E236" s="3" t="s">
        <v>35</v>
      </c>
      <c r="F236" s="3">
        <v>321</v>
      </c>
      <c r="G236" s="3">
        <v>310</v>
      </c>
      <c r="H236" s="3">
        <v>11</v>
      </c>
      <c r="I236" s="5">
        <f t="shared" si="19"/>
        <v>3.4267912772585667E-2</v>
      </c>
      <c r="J236" s="6">
        <f t="shared" si="20"/>
        <v>34267.912772585667</v>
      </c>
      <c r="K236" s="7">
        <v>1.2</v>
      </c>
      <c r="L236" s="3">
        <v>434</v>
      </c>
      <c r="M236" s="3">
        <v>450</v>
      </c>
      <c r="N236" s="3">
        <v>16</v>
      </c>
      <c r="O236" s="5">
        <f t="shared" si="21"/>
        <v>0.96444444444444444</v>
      </c>
      <c r="P236" s="5">
        <f t="shared" si="22"/>
        <v>0.88755760368663594</v>
      </c>
      <c r="Q236" s="5">
        <f t="shared" si="23"/>
        <v>0.96573208722741433</v>
      </c>
      <c r="R236" s="5">
        <f t="shared" si="24"/>
        <v>0.82666666666666666</v>
      </c>
    </row>
    <row r="237" spans="1:18" x14ac:dyDescent="0.25">
      <c r="A237" s="3">
        <v>233</v>
      </c>
      <c r="B237" s="4">
        <v>46250</v>
      </c>
      <c r="C237" s="3" t="s">
        <v>28</v>
      </c>
      <c r="D237" s="3" t="s">
        <v>21</v>
      </c>
      <c r="E237" s="3" t="s">
        <v>34</v>
      </c>
      <c r="F237" s="3">
        <v>184</v>
      </c>
      <c r="G237" s="3">
        <v>182</v>
      </c>
      <c r="H237" s="3">
        <v>2</v>
      </c>
      <c r="I237" s="5">
        <f t="shared" si="19"/>
        <v>1.0869565217391304E-2</v>
      </c>
      <c r="J237" s="6">
        <f t="shared" si="20"/>
        <v>10869.565217391304</v>
      </c>
      <c r="K237" s="7">
        <v>1.8</v>
      </c>
      <c r="L237" s="3">
        <v>405</v>
      </c>
      <c r="M237" s="3">
        <v>450</v>
      </c>
      <c r="N237" s="3">
        <v>45</v>
      </c>
      <c r="O237" s="5">
        <f t="shared" si="21"/>
        <v>0.9</v>
      </c>
      <c r="P237" s="5">
        <f t="shared" si="22"/>
        <v>0.81777777777777771</v>
      </c>
      <c r="Q237" s="5">
        <f t="shared" si="23"/>
        <v>0.98913043478260865</v>
      </c>
      <c r="R237" s="5">
        <f t="shared" si="24"/>
        <v>0.72799999999999998</v>
      </c>
    </row>
    <row r="238" spans="1:18" x14ac:dyDescent="0.25">
      <c r="A238" s="3">
        <v>234</v>
      </c>
      <c r="B238" s="4">
        <v>46250</v>
      </c>
      <c r="C238" s="3" t="s">
        <v>28</v>
      </c>
      <c r="D238" s="3" t="s">
        <v>23</v>
      </c>
      <c r="E238" s="3" t="s">
        <v>27</v>
      </c>
      <c r="F238" s="3">
        <v>347</v>
      </c>
      <c r="G238" s="3">
        <v>345</v>
      </c>
      <c r="H238" s="3">
        <v>2</v>
      </c>
      <c r="I238" s="5">
        <f t="shared" si="19"/>
        <v>5.763688760806916E-3</v>
      </c>
      <c r="J238" s="6">
        <f t="shared" si="20"/>
        <v>5763.6887608069164</v>
      </c>
      <c r="K238" s="7">
        <v>1.1299999999999999</v>
      </c>
      <c r="L238" s="3">
        <v>425</v>
      </c>
      <c r="M238" s="3">
        <v>450</v>
      </c>
      <c r="N238" s="3">
        <v>25</v>
      </c>
      <c r="O238" s="5">
        <f t="shared" si="21"/>
        <v>0.94444444444444442</v>
      </c>
      <c r="P238" s="5">
        <f t="shared" si="22"/>
        <v>0.92261176470588224</v>
      </c>
      <c r="Q238" s="5">
        <f t="shared" si="23"/>
        <v>0.99423631123919309</v>
      </c>
      <c r="R238" s="5">
        <f t="shared" si="24"/>
        <v>0.86633333333333318</v>
      </c>
    </row>
    <row r="239" spans="1:18" x14ac:dyDescent="0.25">
      <c r="A239" s="3">
        <v>235</v>
      </c>
      <c r="B239" s="4">
        <v>46250</v>
      </c>
      <c r="C239" s="3" t="s">
        <v>30</v>
      </c>
      <c r="D239" s="3" t="s">
        <v>19</v>
      </c>
      <c r="E239" s="3" t="s">
        <v>32</v>
      </c>
      <c r="F239" s="3">
        <v>409</v>
      </c>
      <c r="G239" s="3">
        <v>398</v>
      </c>
      <c r="H239" s="3">
        <v>11</v>
      </c>
      <c r="I239" s="5">
        <f t="shared" si="19"/>
        <v>2.6894865525672371E-2</v>
      </c>
      <c r="J239" s="6">
        <f t="shared" si="20"/>
        <v>26894.865525672372</v>
      </c>
      <c r="K239" s="7">
        <v>0.94</v>
      </c>
      <c r="L239" s="3">
        <v>416</v>
      </c>
      <c r="M239" s="3">
        <v>450</v>
      </c>
      <c r="N239" s="3">
        <v>34</v>
      </c>
      <c r="O239" s="5">
        <f t="shared" si="21"/>
        <v>0.9244444444444444</v>
      </c>
      <c r="P239" s="5">
        <f t="shared" si="22"/>
        <v>0.92418269230769223</v>
      </c>
      <c r="Q239" s="5">
        <f t="shared" si="23"/>
        <v>0.97310513447432767</v>
      </c>
      <c r="R239" s="5">
        <f t="shared" si="24"/>
        <v>0.83137777777777766</v>
      </c>
    </row>
    <row r="240" spans="1:18" x14ac:dyDescent="0.25">
      <c r="A240" s="3">
        <v>236</v>
      </c>
      <c r="B240" s="4">
        <v>46250</v>
      </c>
      <c r="C240" s="3" t="s">
        <v>30</v>
      </c>
      <c r="D240" s="3" t="s">
        <v>21</v>
      </c>
      <c r="E240" s="3" t="s">
        <v>27</v>
      </c>
      <c r="F240" s="3">
        <v>295</v>
      </c>
      <c r="G240" s="3">
        <v>284</v>
      </c>
      <c r="H240" s="3">
        <v>11</v>
      </c>
      <c r="I240" s="5">
        <f t="shared" si="19"/>
        <v>3.7288135593220341E-2</v>
      </c>
      <c r="J240" s="6">
        <f t="shared" si="20"/>
        <v>37288.135593220344</v>
      </c>
      <c r="K240" s="7">
        <v>1.3</v>
      </c>
      <c r="L240" s="3">
        <v>408</v>
      </c>
      <c r="M240" s="3">
        <v>450</v>
      </c>
      <c r="N240" s="3">
        <v>42</v>
      </c>
      <c r="O240" s="5">
        <f t="shared" si="21"/>
        <v>0.90666666666666662</v>
      </c>
      <c r="P240" s="5">
        <f t="shared" si="22"/>
        <v>0.93995098039215685</v>
      </c>
      <c r="Q240" s="5">
        <f t="shared" si="23"/>
        <v>0.96271186440677969</v>
      </c>
      <c r="R240" s="5">
        <f t="shared" si="24"/>
        <v>0.82044444444444442</v>
      </c>
    </row>
    <row r="241" spans="1:18" x14ac:dyDescent="0.25">
      <c r="A241" s="3">
        <v>237</v>
      </c>
      <c r="B241" s="4">
        <v>46250</v>
      </c>
      <c r="C241" s="3" t="s">
        <v>30</v>
      </c>
      <c r="D241" s="3" t="s">
        <v>23</v>
      </c>
      <c r="E241" s="3" t="s">
        <v>29</v>
      </c>
      <c r="F241" s="3">
        <v>291</v>
      </c>
      <c r="G241" s="3">
        <v>283</v>
      </c>
      <c r="H241" s="3">
        <v>8</v>
      </c>
      <c r="I241" s="5">
        <f t="shared" si="19"/>
        <v>2.7491408934707903E-2</v>
      </c>
      <c r="J241" s="6">
        <f t="shared" si="20"/>
        <v>27491.408934707903</v>
      </c>
      <c r="K241" s="7">
        <v>1.26</v>
      </c>
      <c r="L241" s="3">
        <v>402</v>
      </c>
      <c r="M241" s="3">
        <v>450</v>
      </c>
      <c r="N241" s="3">
        <v>48</v>
      </c>
      <c r="O241" s="5">
        <f t="shared" si="21"/>
        <v>0.89333333333333331</v>
      </c>
      <c r="P241" s="5">
        <f t="shared" si="22"/>
        <v>0.91208955223880606</v>
      </c>
      <c r="Q241" s="5">
        <f t="shared" si="23"/>
        <v>0.97250859106529208</v>
      </c>
      <c r="R241" s="5">
        <f t="shared" si="24"/>
        <v>0.7924000000000001</v>
      </c>
    </row>
    <row r="242" spans="1:18" x14ac:dyDescent="0.25">
      <c r="A242" s="3">
        <v>238</v>
      </c>
      <c r="B242" s="4">
        <v>46250</v>
      </c>
      <c r="C242" s="3" t="s">
        <v>33</v>
      </c>
      <c r="D242" s="3" t="s">
        <v>19</v>
      </c>
      <c r="E242" s="3" t="s">
        <v>24</v>
      </c>
      <c r="F242" s="3">
        <v>800</v>
      </c>
      <c r="G242" s="3">
        <v>768</v>
      </c>
      <c r="H242" s="3">
        <v>32</v>
      </c>
      <c r="I242" s="5">
        <f t="shared" si="19"/>
        <v>0.04</v>
      </c>
      <c r="J242" s="6">
        <f t="shared" si="20"/>
        <v>40000</v>
      </c>
      <c r="K242" s="7">
        <v>0.5</v>
      </c>
      <c r="L242" s="3">
        <v>439</v>
      </c>
      <c r="M242" s="3">
        <v>450</v>
      </c>
      <c r="N242" s="3">
        <v>11</v>
      </c>
      <c r="O242" s="5">
        <f t="shared" si="21"/>
        <v>0.97555555555555551</v>
      </c>
      <c r="P242" s="5">
        <f t="shared" si="22"/>
        <v>0.91116173120728927</v>
      </c>
      <c r="Q242" s="5">
        <f t="shared" si="23"/>
        <v>0.96</v>
      </c>
      <c r="R242" s="5">
        <f t="shared" si="24"/>
        <v>0.85333333333333328</v>
      </c>
    </row>
    <row r="243" spans="1:18" x14ac:dyDescent="0.25">
      <c r="A243" s="3">
        <v>239</v>
      </c>
      <c r="B243" s="4">
        <v>46250</v>
      </c>
      <c r="C243" s="3" t="s">
        <v>33</v>
      </c>
      <c r="D243" s="3" t="s">
        <v>21</v>
      </c>
      <c r="E243" s="3" t="s">
        <v>31</v>
      </c>
      <c r="F243" s="3">
        <v>258</v>
      </c>
      <c r="G243" s="3">
        <v>251</v>
      </c>
      <c r="H243" s="3">
        <v>7</v>
      </c>
      <c r="I243" s="5">
        <f t="shared" si="19"/>
        <v>2.7131782945736434E-2</v>
      </c>
      <c r="J243" s="6">
        <f t="shared" si="20"/>
        <v>27131.782945736435</v>
      </c>
      <c r="K243" s="7">
        <v>1.33</v>
      </c>
      <c r="L243" s="3">
        <v>429</v>
      </c>
      <c r="M243" s="3">
        <v>450</v>
      </c>
      <c r="N243" s="3">
        <v>21</v>
      </c>
      <c r="O243" s="5">
        <f t="shared" si="21"/>
        <v>0.95333333333333337</v>
      </c>
      <c r="P243" s="5">
        <f t="shared" si="22"/>
        <v>0.79986013986013993</v>
      </c>
      <c r="Q243" s="5">
        <f t="shared" si="23"/>
        <v>0.97286821705426352</v>
      </c>
      <c r="R243" s="5">
        <f t="shared" si="24"/>
        <v>0.74184444444444442</v>
      </c>
    </row>
    <row r="244" spans="1:18" x14ac:dyDescent="0.25">
      <c r="A244" s="3">
        <v>240</v>
      </c>
      <c r="B244" s="4">
        <v>46250</v>
      </c>
      <c r="C244" s="3" t="s">
        <v>33</v>
      </c>
      <c r="D244" s="3" t="s">
        <v>23</v>
      </c>
      <c r="E244" s="3" t="s">
        <v>29</v>
      </c>
      <c r="F244" s="3">
        <v>655</v>
      </c>
      <c r="G244" s="3">
        <v>637</v>
      </c>
      <c r="H244" s="3">
        <v>18</v>
      </c>
      <c r="I244" s="5">
        <f t="shared" si="19"/>
        <v>2.748091603053435E-2</v>
      </c>
      <c r="J244" s="6">
        <f t="shared" si="20"/>
        <v>27480.91603053435</v>
      </c>
      <c r="K244" s="7">
        <v>0.67</v>
      </c>
      <c r="L244" s="3">
        <v>445</v>
      </c>
      <c r="M244" s="3">
        <v>450</v>
      </c>
      <c r="N244" s="3">
        <v>5</v>
      </c>
      <c r="O244" s="5">
        <f t="shared" si="21"/>
        <v>0.98888888888888893</v>
      </c>
      <c r="P244" s="5">
        <f t="shared" si="22"/>
        <v>0.98617977528089895</v>
      </c>
      <c r="Q244" s="5">
        <f t="shared" si="23"/>
        <v>0.97251908396946563</v>
      </c>
      <c r="R244" s="5">
        <f t="shared" si="24"/>
        <v>0.94842222222222228</v>
      </c>
    </row>
    <row r="245" spans="1:18" x14ac:dyDescent="0.25">
      <c r="A245" s="3">
        <v>241</v>
      </c>
      <c r="B245" s="4">
        <v>46251</v>
      </c>
      <c r="C245" s="3" t="s">
        <v>18</v>
      </c>
      <c r="D245" s="3" t="s">
        <v>19</v>
      </c>
      <c r="E245" s="3" t="s">
        <v>34</v>
      </c>
      <c r="F245" s="3">
        <v>286</v>
      </c>
      <c r="G245" s="3">
        <v>280</v>
      </c>
      <c r="H245" s="3">
        <v>6</v>
      </c>
      <c r="I245" s="5">
        <f t="shared" si="19"/>
        <v>2.097902097902098E-2</v>
      </c>
      <c r="J245" s="6">
        <f t="shared" si="20"/>
        <v>20979.020979020981</v>
      </c>
      <c r="K245" s="7">
        <v>1.21</v>
      </c>
      <c r="L245" s="3">
        <v>401</v>
      </c>
      <c r="M245" s="3">
        <v>450</v>
      </c>
      <c r="N245" s="3">
        <v>49</v>
      </c>
      <c r="O245" s="5">
        <f t="shared" si="21"/>
        <v>0.89111111111111108</v>
      </c>
      <c r="P245" s="5">
        <f t="shared" si="22"/>
        <v>0.8629925187032419</v>
      </c>
      <c r="Q245" s="5">
        <f t="shared" si="23"/>
        <v>0.97902097902097907</v>
      </c>
      <c r="R245" s="5">
        <f t="shared" si="24"/>
        <v>0.75288888888888883</v>
      </c>
    </row>
    <row r="246" spans="1:18" x14ac:dyDescent="0.25">
      <c r="A246" s="3">
        <v>242</v>
      </c>
      <c r="B246" s="4">
        <v>46251</v>
      </c>
      <c r="C246" s="3" t="s">
        <v>18</v>
      </c>
      <c r="D246" s="3" t="s">
        <v>21</v>
      </c>
      <c r="E246" s="3" t="s">
        <v>34</v>
      </c>
      <c r="F246" s="3">
        <v>251</v>
      </c>
      <c r="G246" s="3">
        <v>246</v>
      </c>
      <c r="H246" s="3">
        <v>5</v>
      </c>
      <c r="I246" s="5">
        <f t="shared" si="19"/>
        <v>1.9920318725099601E-2</v>
      </c>
      <c r="J246" s="6">
        <f t="shared" si="20"/>
        <v>19920.318725099602</v>
      </c>
      <c r="K246" s="7">
        <v>1.6</v>
      </c>
      <c r="L246" s="3">
        <v>443</v>
      </c>
      <c r="M246" s="3">
        <v>450</v>
      </c>
      <c r="N246" s="3">
        <v>7</v>
      </c>
      <c r="O246" s="5">
        <f t="shared" si="21"/>
        <v>0.98444444444444446</v>
      </c>
      <c r="P246" s="5">
        <f t="shared" si="22"/>
        <v>0.90654627539503396</v>
      </c>
      <c r="Q246" s="5">
        <f t="shared" si="23"/>
        <v>0.98007968127490042</v>
      </c>
      <c r="R246" s="5">
        <f t="shared" si="24"/>
        <v>0.87466666666666681</v>
      </c>
    </row>
    <row r="247" spans="1:18" x14ac:dyDescent="0.25">
      <c r="A247" s="3">
        <v>243</v>
      </c>
      <c r="B247" s="4">
        <v>46251</v>
      </c>
      <c r="C247" s="3" t="s">
        <v>18</v>
      </c>
      <c r="D247" s="3" t="s">
        <v>23</v>
      </c>
      <c r="E247" s="3" t="s">
        <v>32</v>
      </c>
      <c r="F247" s="3">
        <v>778</v>
      </c>
      <c r="G247" s="3">
        <v>769</v>
      </c>
      <c r="H247" s="3">
        <v>9</v>
      </c>
      <c r="I247" s="5">
        <f t="shared" si="19"/>
        <v>1.1568123393316195E-2</v>
      </c>
      <c r="J247" s="6">
        <f t="shared" si="20"/>
        <v>11568.123393316195</v>
      </c>
      <c r="K247" s="7">
        <v>0.42</v>
      </c>
      <c r="L247" s="3">
        <v>401</v>
      </c>
      <c r="M247" s="3">
        <v>450</v>
      </c>
      <c r="N247" s="3">
        <v>49</v>
      </c>
      <c r="O247" s="5">
        <f t="shared" si="21"/>
        <v>0.89111111111111108</v>
      </c>
      <c r="P247" s="5">
        <f t="shared" si="22"/>
        <v>0.814862842892768</v>
      </c>
      <c r="Q247" s="5">
        <f t="shared" si="23"/>
        <v>0.98843187660668386</v>
      </c>
      <c r="R247" s="5">
        <f t="shared" si="24"/>
        <v>0.71773333333333322</v>
      </c>
    </row>
    <row r="248" spans="1:18" x14ac:dyDescent="0.25">
      <c r="A248" s="3">
        <v>244</v>
      </c>
      <c r="B248" s="4">
        <v>46251</v>
      </c>
      <c r="C248" s="3" t="s">
        <v>25</v>
      </c>
      <c r="D248" s="3" t="s">
        <v>19</v>
      </c>
      <c r="E248" s="3" t="s">
        <v>31</v>
      </c>
      <c r="F248" s="3">
        <v>396</v>
      </c>
      <c r="G248" s="3">
        <v>391</v>
      </c>
      <c r="H248" s="3">
        <v>5</v>
      </c>
      <c r="I248" s="5">
        <f t="shared" si="19"/>
        <v>1.2626262626262626E-2</v>
      </c>
      <c r="J248" s="6">
        <f t="shared" si="20"/>
        <v>12626.262626262625</v>
      </c>
      <c r="K248" s="7">
        <v>0.89</v>
      </c>
      <c r="L248" s="3">
        <v>389</v>
      </c>
      <c r="M248" s="3">
        <v>450</v>
      </c>
      <c r="N248" s="3">
        <v>61</v>
      </c>
      <c r="O248" s="5">
        <f t="shared" si="21"/>
        <v>0.86444444444444446</v>
      </c>
      <c r="P248" s="5">
        <f t="shared" si="22"/>
        <v>0.90601542416452441</v>
      </c>
      <c r="Q248" s="5">
        <f t="shared" si="23"/>
        <v>0.98737373737373735</v>
      </c>
      <c r="R248" s="5">
        <f t="shared" si="24"/>
        <v>0.77331111111111106</v>
      </c>
    </row>
    <row r="249" spans="1:18" x14ac:dyDescent="0.25">
      <c r="A249" s="3">
        <v>245</v>
      </c>
      <c r="B249" s="4">
        <v>46251</v>
      </c>
      <c r="C249" s="3" t="s">
        <v>25</v>
      </c>
      <c r="D249" s="3" t="s">
        <v>21</v>
      </c>
      <c r="E249" s="3" t="s">
        <v>24</v>
      </c>
      <c r="F249" s="3">
        <v>670</v>
      </c>
      <c r="G249" s="3">
        <v>645</v>
      </c>
      <c r="H249" s="3">
        <v>25</v>
      </c>
      <c r="I249" s="5">
        <f t="shared" si="19"/>
        <v>3.7313432835820892E-2</v>
      </c>
      <c r="J249" s="6">
        <f t="shared" si="20"/>
        <v>37313.432835820895</v>
      </c>
      <c r="K249" s="7">
        <v>0.5</v>
      </c>
      <c r="L249" s="3">
        <v>388</v>
      </c>
      <c r="M249" s="3">
        <v>450</v>
      </c>
      <c r="N249" s="3">
        <v>62</v>
      </c>
      <c r="O249" s="5">
        <f t="shared" si="21"/>
        <v>0.86222222222222222</v>
      </c>
      <c r="P249" s="5">
        <f t="shared" si="22"/>
        <v>0.86340206185567014</v>
      </c>
      <c r="Q249" s="5">
        <f t="shared" si="23"/>
        <v>0.96268656716417911</v>
      </c>
      <c r="R249" s="5">
        <f t="shared" si="24"/>
        <v>0.71666666666666667</v>
      </c>
    </row>
    <row r="250" spans="1:18" x14ac:dyDescent="0.25">
      <c r="A250" s="3">
        <v>246</v>
      </c>
      <c r="B250" s="4">
        <v>46251</v>
      </c>
      <c r="C250" s="3" t="s">
        <v>25</v>
      </c>
      <c r="D250" s="3" t="s">
        <v>23</v>
      </c>
      <c r="E250" s="3" t="s">
        <v>35</v>
      </c>
      <c r="F250" s="3">
        <v>424</v>
      </c>
      <c r="G250" s="3">
        <v>421</v>
      </c>
      <c r="H250" s="3">
        <v>3</v>
      </c>
      <c r="I250" s="5">
        <f t="shared" si="19"/>
        <v>7.0754716981132077E-3</v>
      </c>
      <c r="J250" s="6">
        <f t="shared" si="20"/>
        <v>7075.4716981132078</v>
      </c>
      <c r="K250" s="7">
        <v>0.91</v>
      </c>
      <c r="L250" s="3">
        <v>394</v>
      </c>
      <c r="M250" s="3">
        <v>450</v>
      </c>
      <c r="N250" s="3">
        <v>56</v>
      </c>
      <c r="O250" s="5">
        <f t="shared" si="21"/>
        <v>0.87555555555555553</v>
      </c>
      <c r="P250" s="5">
        <f t="shared" si="22"/>
        <v>0.97928934010152291</v>
      </c>
      <c r="Q250" s="5">
        <f t="shared" si="23"/>
        <v>0.99292452830188682</v>
      </c>
      <c r="R250" s="5">
        <f t="shared" si="24"/>
        <v>0.85135555555555564</v>
      </c>
    </row>
    <row r="251" spans="1:18" x14ac:dyDescent="0.25">
      <c r="A251" s="3">
        <v>247</v>
      </c>
      <c r="B251" s="4">
        <v>46251</v>
      </c>
      <c r="C251" s="3" t="s">
        <v>28</v>
      </c>
      <c r="D251" s="3" t="s">
        <v>19</v>
      </c>
      <c r="E251" s="3" t="s">
        <v>26</v>
      </c>
      <c r="F251" s="3">
        <v>329</v>
      </c>
      <c r="G251" s="3">
        <v>322</v>
      </c>
      <c r="H251" s="3">
        <v>7</v>
      </c>
      <c r="I251" s="5">
        <f t="shared" si="19"/>
        <v>2.1276595744680851E-2</v>
      </c>
      <c r="J251" s="6">
        <f t="shared" si="20"/>
        <v>21276.59574468085</v>
      </c>
      <c r="K251" s="7">
        <v>1.23</v>
      </c>
      <c r="L251" s="3">
        <v>398</v>
      </c>
      <c r="M251" s="3">
        <v>450</v>
      </c>
      <c r="N251" s="3">
        <v>52</v>
      </c>
      <c r="O251" s="5">
        <f t="shared" si="21"/>
        <v>0.88444444444444448</v>
      </c>
      <c r="P251" s="5">
        <f t="shared" si="22"/>
        <v>1.0167587939698493</v>
      </c>
      <c r="Q251" s="5">
        <f t="shared" si="23"/>
        <v>0.97872340425531912</v>
      </c>
      <c r="R251" s="5">
        <f t="shared" si="24"/>
        <v>0.88013333333333332</v>
      </c>
    </row>
    <row r="252" spans="1:18" x14ac:dyDescent="0.25">
      <c r="A252" s="3">
        <v>248</v>
      </c>
      <c r="B252" s="4">
        <v>46251</v>
      </c>
      <c r="C252" s="3" t="s">
        <v>28</v>
      </c>
      <c r="D252" s="3" t="s">
        <v>21</v>
      </c>
      <c r="E252" s="3" t="s">
        <v>20</v>
      </c>
      <c r="F252" s="3">
        <v>922</v>
      </c>
      <c r="G252" s="3">
        <v>899</v>
      </c>
      <c r="H252" s="3">
        <v>23</v>
      </c>
      <c r="I252" s="5">
        <f t="shared" si="19"/>
        <v>2.4945770065075923E-2</v>
      </c>
      <c r="J252" s="6">
        <f t="shared" si="20"/>
        <v>24945.770065075922</v>
      </c>
      <c r="K252" s="7">
        <v>0.42</v>
      </c>
      <c r="L252" s="3">
        <v>387</v>
      </c>
      <c r="M252" s="3">
        <v>450</v>
      </c>
      <c r="N252" s="3">
        <v>63</v>
      </c>
      <c r="O252" s="5">
        <f t="shared" si="21"/>
        <v>0.86</v>
      </c>
      <c r="P252" s="5">
        <f t="shared" si="22"/>
        <v>1.0006201550387597</v>
      </c>
      <c r="Q252" s="5">
        <f t="shared" si="23"/>
        <v>0.97505422993492408</v>
      </c>
      <c r="R252" s="5">
        <f t="shared" si="24"/>
        <v>0.83906666666666663</v>
      </c>
    </row>
    <row r="253" spans="1:18" x14ac:dyDescent="0.25">
      <c r="A253" s="3">
        <v>249</v>
      </c>
      <c r="B253" s="4">
        <v>46251</v>
      </c>
      <c r="C253" s="3" t="s">
        <v>28</v>
      </c>
      <c r="D253" s="3" t="s">
        <v>23</v>
      </c>
      <c r="E253" s="3" t="s">
        <v>24</v>
      </c>
      <c r="F253" s="3">
        <v>281</v>
      </c>
      <c r="G253" s="3">
        <v>270</v>
      </c>
      <c r="H253" s="3">
        <v>11</v>
      </c>
      <c r="I253" s="5">
        <f t="shared" si="19"/>
        <v>3.9145907473309607E-2</v>
      </c>
      <c r="J253" s="6">
        <f t="shared" si="20"/>
        <v>39145.907473309606</v>
      </c>
      <c r="K253" s="7">
        <v>1.1499999999999999</v>
      </c>
      <c r="L253" s="3">
        <v>389</v>
      </c>
      <c r="M253" s="3">
        <v>450</v>
      </c>
      <c r="N253" s="3">
        <v>61</v>
      </c>
      <c r="O253" s="5">
        <f t="shared" si="21"/>
        <v>0.86444444444444446</v>
      </c>
      <c r="P253" s="5">
        <f t="shared" si="22"/>
        <v>0.83071979434447296</v>
      </c>
      <c r="Q253" s="5">
        <f t="shared" si="23"/>
        <v>0.96085409252669041</v>
      </c>
      <c r="R253" s="5">
        <f t="shared" si="24"/>
        <v>0.69</v>
      </c>
    </row>
    <row r="254" spans="1:18" x14ac:dyDescent="0.25">
      <c r="A254" s="3">
        <v>250</v>
      </c>
      <c r="B254" s="4">
        <v>46251</v>
      </c>
      <c r="C254" s="3" t="s">
        <v>30</v>
      </c>
      <c r="D254" s="3" t="s">
        <v>19</v>
      </c>
      <c r="E254" s="3" t="s">
        <v>34</v>
      </c>
      <c r="F254" s="3">
        <v>384</v>
      </c>
      <c r="G254" s="3">
        <v>368</v>
      </c>
      <c r="H254" s="3">
        <v>16</v>
      </c>
      <c r="I254" s="5">
        <f t="shared" si="19"/>
        <v>4.1666666666666664E-2</v>
      </c>
      <c r="J254" s="6">
        <f t="shared" si="20"/>
        <v>41666.666666666664</v>
      </c>
      <c r="K254" s="7">
        <v>1.07</v>
      </c>
      <c r="L254" s="3">
        <v>433</v>
      </c>
      <c r="M254" s="3">
        <v>450</v>
      </c>
      <c r="N254" s="3">
        <v>17</v>
      </c>
      <c r="O254" s="5">
        <f t="shared" si="21"/>
        <v>0.9622222222222222</v>
      </c>
      <c r="P254" s="5">
        <f t="shared" si="22"/>
        <v>0.94891454965357969</v>
      </c>
      <c r="Q254" s="5">
        <f t="shared" si="23"/>
        <v>0.95833333333333337</v>
      </c>
      <c r="R254" s="5">
        <f t="shared" si="24"/>
        <v>0.87502222222222226</v>
      </c>
    </row>
    <row r="255" spans="1:18" x14ac:dyDescent="0.25">
      <c r="A255" s="3">
        <v>251</v>
      </c>
      <c r="B255" s="4">
        <v>46251</v>
      </c>
      <c r="C255" s="3" t="s">
        <v>30</v>
      </c>
      <c r="D255" s="3" t="s">
        <v>21</v>
      </c>
      <c r="E255" s="3" t="s">
        <v>26</v>
      </c>
      <c r="F255" s="3">
        <v>242</v>
      </c>
      <c r="G255" s="3">
        <v>241</v>
      </c>
      <c r="H255" s="3">
        <v>1</v>
      </c>
      <c r="I255" s="5">
        <f t="shared" si="19"/>
        <v>4.1322314049586778E-3</v>
      </c>
      <c r="J255" s="6">
        <f t="shared" si="20"/>
        <v>4132.2314049586776</v>
      </c>
      <c r="K255" s="7">
        <v>1.55</v>
      </c>
      <c r="L255" s="3">
        <v>443</v>
      </c>
      <c r="M255" s="3">
        <v>450</v>
      </c>
      <c r="N255" s="3">
        <v>7</v>
      </c>
      <c r="O255" s="5">
        <f t="shared" si="21"/>
        <v>0.98444444444444446</v>
      </c>
      <c r="P255" s="5">
        <f t="shared" si="22"/>
        <v>0.84672686230248317</v>
      </c>
      <c r="Q255" s="5">
        <f t="shared" si="23"/>
        <v>0.99586776859504134</v>
      </c>
      <c r="R255" s="5">
        <f t="shared" si="24"/>
        <v>0.83011111111111124</v>
      </c>
    </row>
    <row r="256" spans="1:18" x14ac:dyDescent="0.25">
      <c r="A256" s="3">
        <v>252</v>
      </c>
      <c r="B256" s="4">
        <v>46251</v>
      </c>
      <c r="C256" s="3" t="s">
        <v>30</v>
      </c>
      <c r="D256" s="3" t="s">
        <v>23</v>
      </c>
      <c r="E256" s="3" t="s">
        <v>34</v>
      </c>
      <c r="F256" s="3">
        <v>216</v>
      </c>
      <c r="G256" s="3">
        <v>210</v>
      </c>
      <c r="H256" s="3">
        <v>6</v>
      </c>
      <c r="I256" s="5">
        <f t="shared" si="19"/>
        <v>2.7777777777777776E-2</v>
      </c>
      <c r="J256" s="6">
        <f t="shared" si="20"/>
        <v>27777.777777777777</v>
      </c>
      <c r="K256" s="7">
        <v>1.71</v>
      </c>
      <c r="L256" s="3">
        <v>405</v>
      </c>
      <c r="M256" s="3">
        <v>450</v>
      </c>
      <c r="N256" s="3">
        <v>45</v>
      </c>
      <c r="O256" s="5">
        <f t="shared" si="21"/>
        <v>0.9</v>
      </c>
      <c r="P256" s="5">
        <f t="shared" si="22"/>
        <v>0.91200000000000003</v>
      </c>
      <c r="Q256" s="5">
        <f t="shared" si="23"/>
        <v>0.97222222222222221</v>
      </c>
      <c r="R256" s="5">
        <f t="shared" si="24"/>
        <v>0.79800000000000004</v>
      </c>
    </row>
    <row r="257" spans="1:18" x14ac:dyDescent="0.25">
      <c r="A257" s="3">
        <v>253</v>
      </c>
      <c r="B257" s="4">
        <v>46251</v>
      </c>
      <c r="C257" s="3" t="s">
        <v>33</v>
      </c>
      <c r="D257" s="3" t="s">
        <v>19</v>
      </c>
      <c r="E257" s="3" t="s">
        <v>31</v>
      </c>
      <c r="F257" s="3">
        <v>336</v>
      </c>
      <c r="G257" s="3">
        <v>333</v>
      </c>
      <c r="H257" s="3">
        <v>3</v>
      </c>
      <c r="I257" s="5">
        <f t="shared" si="19"/>
        <v>8.9285714285714281E-3</v>
      </c>
      <c r="J257" s="6">
        <f t="shared" si="20"/>
        <v>8928.5714285714275</v>
      </c>
      <c r="K257" s="7">
        <v>1.02</v>
      </c>
      <c r="L257" s="3">
        <v>388</v>
      </c>
      <c r="M257" s="3">
        <v>450</v>
      </c>
      <c r="N257" s="3">
        <v>62</v>
      </c>
      <c r="O257" s="5">
        <f t="shared" si="21"/>
        <v>0.86222222222222222</v>
      </c>
      <c r="P257" s="5">
        <f t="shared" si="22"/>
        <v>0.88329896907216499</v>
      </c>
      <c r="Q257" s="5">
        <f t="shared" si="23"/>
        <v>0.9910714285714286</v>
      </c>
      <c r="R257" s="5">
        <f t="shared" si="24"/>
        <v>0.75480000000000003</v>
      </c>
    </row>
    <row r="258" spans="1:18" x14ac:dyDescent="0.25">
      <c r="A258" s="3">
        <v>254</v>
      </c>
      <c r="B258" s="4">
        <v>46251</v>
      </c>
      <c r="C258" s="3" t="s">
        <v>33</v>
      </c>
      <c r="D258" s="3" t="s">
        <v>21</v>
      </c>
      <c r="E258" s="3" t="s">
        <v>31</v>
      </c>
      <c r="F258" s="3">
        <v>813</v>
      </c>
      <c r="G258" s="3">
        <v>806</v>
      </c>
      <c r="H258" s="3">
        <v>7</v>
      </c>
      <c r="I258" s="5">
        <f t="shared" si="19"/>
        <v>8.6100861008610082E-3</v>
      </c>
      <c r="J258" s="6">
        <f t="shared" si="20"/>
        <v>8610.0861008610082</v>
      </c>
      <c r="K258" s="7">
        <v>0.49</v>
      </c>
      <c r="L258" s="3">
        <v>403</v>
      </c>
      <c r="M258" s="3">
        <v>450</v>
      </c>
      <c r="N258" s="3">
        <v>47</v>
      </c>
      <c r="O258" s="5">
        <f t="shared" si="21"/>
        <v>0.89555555555555555</v>
      </c>
      <c r="P258" s="5">
        <f t="shared" si="22"/>
        <v>0.98851116625310176</v>
      </c>
      <c r="Q258" s="5">
        <f t="shared" si="23"/>
        <v>0.991389913899139</v>
      </c>
      <c r="R258" s="5">
        <f t="shared" si="24"/>
        <v>0.87764444444444445</v>
      </c>
    </row>
    <row r="259" spans="1:18" x14ac:dyDescent="0.25">
      <c r="A259" s="3">
        <v>255</v>
      </c>
      <c r="B259" s="4">
        <v>46251</v>
      </c>
      <c r="C259" s="3" t="s">
        <v>33</v>
      </c>
      <c r="D259" s="3" t="s">
        <v>23</v>
      </c>
      <c r="E259" s="3" t="s">
        <v>32</v>
      </c>
      <c r="F259" s="3">
        <v>581</v>
      </c>
      <c r="G259" s="3">
        <v>574</v>
      </c>
      <c r="H259" s="3">
        <v>7</v>
      </c>
      <c r="I259" s="5">
        <f t="shared" si="19"/>
        <v>1.2048192771084338E-2</v>
      </c>
      <c r="J259" s="6">
        <f t="shared" si="20"/>
        <v>12048.192771084337</v>
      </c>
      <c r="K259" s="7">
        <v>0.68</v>
      </c>
      <c r="L259" s="3">
        <v>431</v>
      </c>
      <c r="M259" s="3">
        <v>450</v>
      </c>
      <c r="N259" s="3">
        <v>19</v>
      </c>
      <c r="O259" s="5">
        <f t="shared" si="21"/>
        <v>0.95777777777777773</v>
      </c>
      <c r="P259" s="5">
        <f t="shared" si="22"/>
        <v>0.91665893271461729</v>
      </c>
      <c r="Q259" s="5">
        <f t="shared" si="23"/>
        <v>0.98795180722891562</v>
      </c>
      <c r="R259" s="5">
        <f t="shared" si="24"/>
        <v>0.8673777777777778</v>
      </c>
    </row>
    <row r="260" spans="1:18" x14ac:dyDescent="0.25">
      <c r="A260" s="3">
        <v>256</v>
      </c>
      <c r="B260" s="4">
        <v>46252</v>
      </c>
      <c r="C260" s="3" t="s">
        <v>18</v>
      </c>
      <c r="D260" s="3" t="s">
        <v>19</v>
      </c>
      <c r="E260" s="3" t="s">
        <v>35</v>
      </c>
      <c r="F260" s="3">
        <v>622</v>
      </c>
      <c r="G260" s="3">
        <v>604</v>
      </c>
      <c r="H260" s="3">
        <v>18</v>
      </c>
      <c r="I260" s="5">
        <f t="shared" si="19"/>
        <v>2.8938906752411574E-2</v>
      </c>
      <c r="J260" s="6">
        <f t="shared" si="20"/>
        <v>28938.906752411574</v>
      </c>
      <c r="K260" s="7">
        <v>0.59</v>
      </c>
      <c r="L260" s="3">
        <v>421</v>
      </c>
      <c r="M260" s="3">
        <v>450</v>
      </c>
      <c r="N260" s="3">
        <v>29</v>
      </c>
      <c r="O260" s="5">
        <f t="shared" si="21"/>
        <v>0.93555555555555558</v>
      </c>
      <c r="P260" s="5">
        <f t="shared" si="22"/>
        <v>0.87168646080760082</v>
      </c>
      <c r="Q260" s="5">
        <f t="shared" si="23"/>
        <v>0.97106109324758838</v>
      </c>
      <c r="R260" s="5">
        <f t="shared" si="24"/>
        <v>0.7919111111111109</v>
      </c>
    </row>
    <row r="261" spans="1:18" x14ac:dyDescent="0.25">
      <c r="A261" s="3">
        <v>257</v>
      </c>
      <c r="B261" s="4">
        <v>46252</v>
      </c>
      <c r="C261" s="3" t="s">
        <v>18</v>
      </c>
      <c r="D261" s="3" t="s">
        <v>21</v>
      </c>
      <c r="E261" s="3" t="s">
        <v>22</v>
      </c>
      <c r="F261" s="3">
        <v>201</v>
      </c>
      <c r="G261" s="3">
        <v>193</v>
      </c>
      <c r="H261" s="3">
        <v>8</v>
      </c>
      <c r="I261" s="5">
        <f t="shared" ref="I261:I324" si="25">IFERROR(H261/F261,0)</f>
        <v>3.9800995024875621E-2</v>
      </c>
      <c r="J261" s="6">
        <f t="shared" ref="J261:J324" si="26">I261*1000000</f>
        <v>39800.995024875621</v>
      </c>
      <c r="K261" s="7">
        <v>1.67</v>
      </c>
      <c r="L261" s="3">
        <v>411</v>
      </c>
      <c r="M261" s="3">
        <v>450</v>
      </c>
      <c r="N261" s="3">
        <v>39</v>
      </c>
      <c r="O261" s="5">
        <f t="shared" ref="O261:O324" si="27">IFERROR(L261/M261,0)</f>
        <v>0.91333333333333333</v>
      </c>
      <c r="P261" s="5">
        <f t="shared" ref="P261:P324" si="28">IFERROR(F261*K261/L261,0)</f>
        <v>0.81671532846715322</v>
      </c>
      <c r="Q261" s="5">
        <f t="shared" ref="Q261:Q324" si="29">IFERROR(G261/F261,0)</f>
        <v>0.96019900497512434</v>
      </c>
      <c r="R261" s="5">
        <f t="shared" ref="R261:R324" si="30">O261*P261*Q261</f>
        <v>0.71624444444444435</v>
      </c>
    </row>
    <row r="262" spans="1:18" x14ac:dyDescent="0.25">
      <c r="A262" s="3">
        <v>258</v>
      </c>
      <c r="B262" s="4">
        <v>46252</v>
      </c>
      <c r="C262" s="3" t="s">
        <v>18</v>
      </c>
      <c r="D262" s="3" t="s">
        <v>23</v>
      </c>
      <c r="E262" s="3" t="s">
        <v>34</v>
      </c>
      <c r="F262" s="3">
        <v>219</v>
      </c>
      <c r="G262" s="3">
        <v>213</v>
      </c>
      <c r="H262" s="3">
        <v>6</v>
      </c>
      <c r="I262" s="5">
        <f t="shared" si="25"/>
        <v>2.7397260273972601E-2</v>
      </c>
      <c r="J262" s="6">
        <f t="shared" si="26"/>
        <v>27397.260273972603</v>
      </c>
      <c r="K262" s="7">
        <v>1.66</v>
      </c>
      <c r="L262" s="3">
        <v>388</v>
      </c>
      <c r="M262" s="3">
        <v>450</v>
      </c>
      <c r="N262" s="3">
        <v>62</v>
      </c>
      <c r="O262" s="5">
        <f t="shared" si="27"/>
        <v>0.86222222222222222</v>
      </c>
      <c r="P262" s="5">
        <f t="shared" si="28"/>
        <v>0.93695876288659785</v>
      </c>
      <c r="Q262" s="5">
        <f t="shared" si="29"/>
        <v>0.9726027397260274</v>
      </c>
      <c r="R262" s="5">
        <f t="shared" si="30"/>
        <v>0.78573333333333328</v>
      </c>
    </row>
    <row r="263" spans="1:18" x14ac:dyDescent="0.25">
      <c r="A263" s="3">
        <v>259</v>
      </c>
      <c r="B263" s="4">
        <v>46252</v>
      </c>
      <c r="C263" s="3" t="s">
        <v>25</v>
      </c>
      <c r="D263" s="3" t="s">
        <v>19</v>
      </c>
      <c r="E263" s="3" t="s">
        <v>35</v>
      </c>
      <c r="F263" s="3">
        <v>293</v>
      </c>
      <c r="G263" s="3">
        <v>292</v>
      </c>
      <c r="H263" s="3">
        <v>1</v>
      </c>
      <c r="I263" s="5">
        <f t="shared" si="25"/>
        <v>3.4129692832764505E-3</v>
      </c>
      <c r="J263" s="6">
        <f t="shared" si="26"/>
        <v>3412.9692832764504</v>
      </c>
      <c r="K263" s="7">
        <v>1.28</v>
      </c>
      <c r="L263" s="3">
        <v>395</v>
      </c>
      <c r="M263" s="3">
        <v>450</v>
      </c>
      <c r="N263" s="3">
        <v>55</v>
      </c>
      <c r="O263" s="5">
        <f t="shared" si="27"/>
        <v>0.87777777777777777</v>
      </c>
      <c r="P263" s="5">
        <f t="shared" si="28"/>
        <v>0.9494683544303798</v>
      </c>
      <c r="Q263" s="5">
        <f t="shared" si="29"/>
        <v>0.9965870307167235</v>
      </c>
      <c r="R263" s="5">
        <f t="shared" si="30"/>
        <v>0.83057777777777775</v>
      </c>
    </row>
    <row r="264" spans="1:18" x14ac:dyDescent="0.25">
      <c r="A264" s="3">
        <v>260</v>
      </c>
      <c r="B264" s="4">
        <v>46252</v>
      </c>
      <c r="C264" s="3" t="s">
        <v>25</v>
      </c>
      <c r="D264" s="3" t="s">
        <v>21</v>
      </c>
      <c r="E264" s="3" t="s">
        <v>27</v>
      </c>
      <c r="F264" s="3">
        <v>218</v>
      </c>
      <c r="G264" s="3">
        <v>214</v>
      </c>
      <c r="H264" s="3">
        <v>4</v>
      </c>
      <c r="I264" s="5">
        <f t="shared" si="25"/>
        <v>1.834862385321101E-2</v>
      </c>
      <c r="J264" s="6">
        <f t="shared" si="26"/>
        <v>18348.623853211011</v>
      </c>
      <c r="K264" s="7">
        <v>1.74</v>
      </c>
      <c r="L264" s="3">
        <v>390</v>
      </c>
      <c r="M264" s="3">
        <v>450</v>
      </c>
      <c r="N264" s="3">
        <v>60</v>
      </c>
      <c r="O264" s="5">
        <f t="shared" si="27"/>
        <v>0.8666666666666667</v>
      </c>
      <c r="P264" s="5">
        <f t="shared" si="28"/>
        <v>0.97261538461538455</v>
      </c>
      <c r="Q264" s="5">
        <f t="shared" si="29"/>
        <v>0.98165137614678899</v>
      </c>
      <c r="R264" s="5">
        <f t="shared" si="30"/>
        <v>0.82746666666666668</v>
      </c>
    </row>
    <row r="265" spans="1:18" x14ac:dyDescent="0.25">
      <c r="A265" s="3">
        <v>261</v>
      </c>
      <c r="B265" s="4">
        <v>46252</v>
      </c>
      <c r="C265" s="3" t="s">
        <v>25</v>
      </c>
      <c r="D265" s="3" t="s">
        <v>23</v>
      </c>
      <c r="E265" s="3" t="s">
        <v>34</v>
      </c>
      <c r="F265" s="3">
        <v>1005</v>
      </c>
      <c r="G265" s="3">
        <v>981</v>
      </c>
      <c r="H265" s="3">
        <v>24</v>
      </c>
      <c r="I265" s="5">
        <f t="shared" si="25"/>
        <v>2.3880597014925373E-2</v>
      </c>
      <c r="J265" s="6">
        <f t="shared" si="26"/>
        <v>23880.597014925374</v>
      </c>
      <c r="K265" s="7">
        <v>0.37</v>
      </c>
      <c r="L265" s="3">
        <v>410</v>
      </c>
      <c r="M265" s="3">
        <v>450</v>
      </c>
      <c r="N265" s="3">
        <v>40</v>
      </c>
      <c r="O265" s="5">
        <f t="shared" si="27"/>
        <v>0.91111111111111109</v>
      </c>
      <c r="P265" s="5">
        <f t="shared" si="28"/>
        <v>0.90695121951219515</v>
      </c>
      <c r="Q265" s="5">
        <f t="shared" si="29"/>
        <v>0.9761194029850746</v>
      </c>
      <c r="R265" s="5">
        <f t="shared" si="30"/>
        <v>0.80659999999999998</v>
      </c>
    </row>
    <row r="266" spans="1:18" x14ac:dyDescent="0.25">
      <c r="A266" s="3">
        <v>262</v>
      </c>
      <c r="B266" s="4">
        <v>46252</v>
      </c>
      <c r="C266" s="3" t="s">
        <v>28</v>
      </c>
      <c r="D266" s="3" t="s">
        <v>19</v>
      </c>
      <c r="E266" s="3" t="s">
        <v>26</v>
      </c>
      <c r="F266" s="3">
        <v>355</v>
      </c>
      <c r="G266" s="3">
        <v>346</v>
      </c>
      <c r="H266" s="3">
        <v>9</v>
      </c>
      <c r="I266" s="5">
        <f t="shared" si="25"/>
        <v>2.5352112676056339E-2</v>
      </c>
      <c r="J266" s="6">
        <f t="shared" si="26"/>
        <v>25352.112676056338</v>
      </c>
      <c r="K266" s="7">
        <v>0.98</v>
      </c>
      <c r="L266" s="3">
        <v>414</v>
      </c>
      <c r="M266" s="3">
        <v>450</v>
      </c>
      <c r="N266" s="3">
        <v>36</v>
      </c>
      <c r="O266" s="5">
        <f t="shared" si="27"/>
        <v>0.92</v>
      </c>
      <c r="P266" s="5">
        <f t="shared" si="28"/>
        <v>0.84033816425120766</v>
      </c>
      <c r="Q266" s="5">
        <f t="shared" si="29"/>
        <v>0.9746478873239437</v>
      </c>
      <c r="R266" s="5">
        <f t="shared" si="30"/>
        <v>0.75351111111111113</v>
      </c>
    </row>
    <row r="267" spans="1:18" x14ac:dyDescent="0.25">
      <c r="A267" s="3">
        <v>263</v>
      </c>
      <c r="B267" s="4">
        <v>46252</v>
      </c>
      <c r="C267" s="3" t="s">
        <v>28</v>
      </c>
      <c r="D267" s="3" t="s">
        <v>21</v>
      </c>
      <c r="E267" s="3" t="s">
        <v>35</v>
      </c>
      <c r="F267" s="3">
        <v>488</v>
      </c>
      <c r="G267" s="3">
        <v>483</v>
      </c>
      <c r="H267" s="3">
        <v>5</v>
      </c>
      <c r="I267" s="5">
        <f t="shared" si="25"/>
        <v>1.0245901639344262E-2</v>
      </c>
      <c r="J267" s="6">
        <f t="shared" si="26"/>
        <v>10245.901639344262</v>
      </c>
      <c r="K267" s="7">
        <v>0.89</v>
      </c>
      <c r="L267" s="3">
        <v>425</v>
      </c>
      <c r="M267" s="3">
        <v>450</v>
      </c>
      <c r="N267" s="3">
        <v>25</v>
      </c>
      <c r="O267" s="5">
        <f t="shared" si="27"/>
        <v>0.94444444444444442</v>
      </c>
      <c r="P267" s="5">
        <f t="shared" si="28"/>
        <v>1.021929411764706</v>
      </c>
      <c r="Q267" s="5">
        <f t="shared" si="29"/>
        <v>0.98975409836065575</v>
      </c>
      <c r="R267" s="5">
        <f t="shared" si="30"/>
        <v>0.95526666666666682</v>
      </c>
    </row>
    <row r="268" spans="1:18" x14ac:dyDescent="0.25">
      <c r="A268" s="3">
        <v>264</v>
      </c>
      <c r="B268" s="4">
        <v>46252</v>
      </c>
      <c r="C268" s="3" t="s">
        <v>28</v>
      </c>
      <c r="D268" s="3" t="s">
        <v>23</v>
      </c>
      <c r="E268" s="3" t="s">
        <v>24</v>
      </c>
      <c r="F268" s="3">
        <v>438</v>
      </c>
      <c r="G268" s="3">
        <v>428</v>
      </c>
      <c r="H268" s="3">
        <v>10</v>
      </c>
      <c r="I268" s="5">
        <f t="shared" si="25"/>
        <v>2.2831050228310501E-2</v>
      </c>
      <c r="J268" s="6">
        <f t="shared" si="26"/>
        <v>22831.050228310502</v>
      </c>
      <c r="K268" s="7">
        <v>0.81</v>
      </c>
      <c r="L268" s="3">
        <v>388</v>
      </c>
      <c r="M268" s="3">
        <v>450</v>
      </c>
      <c r="N268" s="3">
        <v>62</v>
      </c>
      <c r="O268" s="5">
        <f t="shared" si="27"/>
        <v>0.86222222222222222</v>
      </c>
      <c r="P268" s="5">
        <f t="shared" si="28"/>
        <v>0.9143814432989692</v>
      </c>
      <c r="Q268" s="5">
        <f t="shared" si="29"/>
        <v>0.97716894977168944</v>
      </c>
      <c r="R268" s="5">
        <f t="shared" si="30"/>
        <v>0.77040000000000008</v>
      </c>
    </row>
    <row r="269" spans="1:18" x14ac:dyDescent="0.25">
      <c r="A269" s="3">
        <v>265</v>
      </c>
      <c r="B269" s="4">
        <v>46252</v>
      </c>
      <c r="C269" s="3" t="s">
        <v>30</v>
      </c>
      <c r="D269" s="3" t="s">
        <v>19</v>
      </c>
      <c r="E269" s="3" t="s">
        <v>35</v>
      </c>
      <c r="F269" s="3">
        <v>340</v>
      </c>
      <c r="G269" s="3">
        <v>335</v>
      </c>
      <c r="H269" s="3">
        <v>5</v>
      </c>
      <c r="I269" s="5">
        <f t="shared" si="25"/>
        <v>1.4705882352941176E-2</v>
      </c>
      <c r="J269" s="6">
        <f t="shared" si="26"/>
        <v>14705.882352941177</v>
      </c>
      <c r="K269" s="7">
        <v>1.28</v>
      </c>
      <c r="L269" s="3">
        <v>428</v>
      </c>
      <c r="M269" s="3">
        <v>450</v>
      </c>
      <c r="N269" s="3">
        <v>22</v>
      </c>
      <c r="O269" s="5">
        <f t="shared" si="27"/>
        <v>0.95111111111111113</v>
      </c>
      <c r="P269" s="5">
        <f t="shared" si="28"/>
        <v>1.016822429906542</v>
      </c>
      <c r="Q269" s="5">
        <f t="shared" si="29"/>
        <v>0.98529411764705888</v>
      </c>
      <c r="R269" s="5">
        <f t="shared" si="30"/>
        <v>0.95288888888888901</v>
      </c>
    </row>
    <row r="270" spans="1:18" x14ac:dyDescent="0.25">
      <c r="A270" s="3">
        <v>266</v>
      </c>
      <c r="B270" s="4">
        <v>46252</v>
      </c>
      <c r="C270" s="3" t="s">
        <v>30</v>
      </c>
      <c r="D270" s="3" t="s">
        <v>21</v>
      </c>
      <c r="E270" s="3" t="s">
        <v>24</v>
      </c>
      <c r="F270" s="3">
        <v>241</v>
      </c>
      <c r="G270" s="3">
        <v>236</v>
      </c>
      <c r="H270" s="3">
        <v>5</v>
      </c>
      <c r="I270" s="5">
        <f t="shared" si="25"/>
        <v>2.0746887966804978E-2</v>
      </c>
      <c r="J270" s="6">
        <f t="shared" si="26"/>
        <v>20746.887966804978</v>
      </c>
      <c r="K270" s="7">
        <v>1.35</v>
      </c>
      <c r="L270" s="3">
        <v>385</v>
      </c>
      <c r="M270" s="3">
        <v>450</v>
      </c>
      <c r="N270" s="3">
        <v>65</v>
      </c>
      <c r="O270" s="5">
        <f t="shared" si="27"/>
        <v>0.85555555555555551</v>
      </c>
      <c r="P270" s="5">
        <f t="shared" si="28"/>
        <v>0.84506493506493507</v>
      </c>
      <c r="Q270" s="5">
        <f t="shared" si="29"/>
        <v>0.97925311203319498</v>
      </c>
      <c r="R270" s="5">
        <f t="shared" si="30"/>
        <v>0.70799999999999996</v>
      </c>
    </row>
    <row r="271" spans="1:18" x14ac:dyDescent="0.25">
      <c r="A271" s="3">
        <v>267</v>
      </c>
      <c r="B271" s="4">
        <v>46252</v>
      </c>
      <c r="C271" s="3" t="s">
        <v>30</v>
      </c>
      <c r="D271" s="3" t="s">
        <v>23</v>
      </c>
      <c r="E271" s="3" t="s">
        <v>31</v>
      </c>
      <c r="F271" s="3">
        <v>1063</v>
      </c>
      <c r="G271" s="3">
        <v>1030</v>
      </c>
      <c r="H271" s="3">
        <v>33</v>
      </c>
      <c r="I271" s="5">
        <f t="shared" si="25"/>
        <v>3.1044214487300093E-2</v>
      </c>
      <c r="J271" s="6">
        <f t="shared" si="26"/>
        <v>31044.214487300094</v>
      </c>
      <c r="K271" s="7">
        <v>0.39</v>
      </c>
      <c r="L271" s="3">
        <v>444</v>
      </c>
      <c r="M271" s="3">
        <v>450</v>
      </c>
      <c r="N271" s="3">
        <v>6</v>
      </c>
      <c r="O271" s="5">
        <f t="shared" si="27"/>
        <v>0.98666666666666669</v>
      </c>
      <c r="P271" s="5">
        <f t="shared" si="28"/>
        <v>0.93371621621621625</v>
      </c>
      <c r="Q271" s="5">
        <f t="shared" si="29"/>
        <v>0.9689557855126999</v>
      </c>
      <c r="R271" s="5">
        <f t="shared" si="30"/>
        <v>0.89266666666666672</v>
      </c>
    </row>
    <row r="272" spans="1:18" x14ac:dyDescent="0.25">
      <c r="A272" s="3">
        <v>268</v>
      </c>
      <c r="B272" s="4">
        <v>46252</v>
      </c>
      <c r="C272" s="3" t="s">
        <v>33</v>
      </c>
      <c r="D272" s="3" t="s">
        <v>19</v>
      </c>
      <c r="E272" s="3" t="s">
        <v>24</v>
      </c>
      <c r="F272" s="3">
        <v>279</v>
      </c>
      <c r="G272" s="3">
        <v>274</v>
      </c>
      <c r="H272" s="3">
        <v>5</v>
      </c>
      <c r="I272" s="5">
        <f t="shared" si="25"/>
        <v>1.7921146953405017E-2</v>
      </c>
      <c r="J272" s="6">
        <f t="shared" si="26"/>
        <v>17921.146953405016</v>
      </c>
      <c r="K272" s="7">
        <v>1.43</v>
      </c>
      <c r="L272" s="3">
        <v>430</v>
      </c>
      <c r="M272" s="3">
        <v>450</v>
      </c>
      <c r="N272" s="3">
        <v>20</v>
      </c>
      <c r="O272" s="5">
        <f t="shared" si="27"/>
        <v>0.9555555555555556</v>
      </c>
      <c r="P272" s="5">
        <f t="shared" si="28"/>
        <v>0.92783720930232549</v>
      </c>
      <c r="Q272" s="5">
        <f t="shared" si="29"/>
        <v>0.98207885304659504</v>
      </c>
      <c r="R272" s="5">
        <f t="shared" si="30"/>
        <v>0.8707111111111111</v>
      </c>
    </row>
    <row r="273" spans="1:18" x14ac:dyDescent="0.25">
      <c r="A273" s="3">
        <v>269</v>
      </c>
      <c r="B273" s="4">
        <v>46252</v>
      </c>
      <c r="C273" s="3" t="s">
        <v>33</v>
      </c>
      <c r="D273" s="3" t="s">
        <v>21</v>
      </c>
      <c r="E273" s="3" t="s">
        <v>29</v>
      </c>
      <c r="F273" s="3">
        <v>812</v>
      </c>
      <c r="G273" s="3">
        <v>787</v>
      </c>
      <c r="H273" s="3">
        <v>25</v>
      </c>
      <c r="I273" s="5">
        <f t="shared" si="25"/>
        <v>3.0788177339901478E-2</v>
      </c>
      <c r="J273" s="6">
        <f t="shared" si="26"/>
        <v>30788.177339901478</v>
      </c>
      <c r="K273" s="7">
        <v>0.41</v>
      </c>
      <c r="L273" s="3">
        <v>414</v>
      </c>
      <c r="M273" s="3">
        <v>450</v>
      </c>
      <c r="N273" s="3">
        <v>36</v>
      </c>
      <c r="O273" s="5">
        <f t="shared" si="27"/>
        <v>0.92</v>
      </c>
      <c r="P273" s="5">
        <f t="shared" si="28"/>
        <v>0.80415458937198059</v>
      </c>
      <c r="Q273" s="5">
        <f t="shared" si="29"/>
        <v>0.96921182266009853</v>
      </c>
      <c r="R273" s="5">
        <f t="shared" si="30"/>
        <v>0.71704444444444437</v>
      </c>
    </row>
    <row r="274" spans="1:18" x14ac:dyDescent="0.25">
      <c r="A274" s="3">
        <v>270</v>
      </c>
      <c r="B274" s="4">
        <v>46252</v>
      </c>
      <c r="C274" s="3" t="s">
        <v>33</v>
      </c>
      <c r="D274" s="3" t="s">
        <v>23</v>
      </c>
      <c r="E274" s="3" t="s">
        <v>22</v>
      </c>
      <c r="F274" s="3">
        <v>216</v>
      </c>
      <c r="G274" s="3">
        <v>209</v>
      </c>
      <c r="H274" s="3">
        <v>7</v>
      </c>
      <c r="I274" s="5">
        <f t="shared" si="25"/>
        <v>3.2407407407407406E-2</v>
      </c>
      <c r="J274" s="6">
        <f t="shared" si="26"/>
        <v>32407.407407407405</v>
      </c>
      <c r="K274" s="7">
        <v>1.79</v>
      </c>
      <c r="L274" s="3">
        <v>422</v>
      </c>
      <c r="M274" s="3">
        <v>450</v>
      </c>
      <c r="N274" s="3">
        <v>28</v>
      </c>
      <c r="O274" s="5">
        <f t="shared" si="27"/>
        <v>0.93777777777777782</v>
      </c>
      <c r="P274" s="5">
        <f t="shared" si="28"/>
        <v>0.9162085308056872</v>
      </c>
      <c r="Q274" s="5">
        <f t="shared" si="29"/>
        <v>0.96759259259259256</v>
      </c>
      <c r="R274" s="5">
        <f t="shared" si="30"/>
        <v>0.83135555555555563</v>
      </c>
    </row>
    <row r="275" spans="1:18" x14ac:dyDescent="0.25">
      <c r="A275" s="3">
        <v>271</v>
      </c>
      <c r="B275" s="4">
        <v>46253</v>
      </c>
      <c r="C275" s="3" t="s">
        <v>18</v>
      </c>
      <c r="D275" s="3" t="s">
        <v>19</v>
      </c>
      <c r="E275" s="3" t="s">
        <v>29</v>
      </c>
      <c r="F275" s="3">
        <v>263</v>
      </c>
      <c r="G275" s="3">
        <v>255</v>
      </c>
      <c r="H275" s="3">
        <v>8</v>
      </c>
      <c r="I275" s="5">
        <f t="shared" si="25"/>
        <v>3.0418250950570342E-2</v>
      </c>
      <c r="J275" s="6">
        <f t="shared" si="26"/>
        <v>30418.250950570342</v>
      </c>
      <c r="K275" s="7">
        <v>1.55</v>
      </c>
      <c r="L275" s="3">
        <v>445</v>
      </c>
      <c r="M275" s="3">
        <v>450</v>
      </c>
      <c r="N275" s="3">
        <v>5</v>
      </c>
      <c r="O275" s="5">
        <f t="shared" si="27"/>
        <v>0.98888888888888893</v>
      </c>
      <c r="P275" s="5">
        <f t="shared" si="28"/>
        <v>0.91606741573033712</v>
      </c>
      <c r="Q275" s="5">
        <f t="shared" si="29"/>
        <v>0.96958174904942962</v>
      </c>
      <c r="R275" s="5">
        <f t="shared" si="30"/>
        <v>0.87833333333333341</v>
      </c>
    </row>
    <row r="276" spans="1:18" x14ac:dyDescent="0.25">
      <c r="A276" s="3">
        <v>272</v>
      </c>
      <c r="B276" s="4">
        <v>46253</v>
      </c>
      <c r="C276" s="3" t="s">
        <v>18</v>
      </c>
      <c r="D276" s="3" t="s">
        <v>21</v>
      </c>
      <c r="E276" s="3" t="s">
        <v>26</v>
      </c>
      <c r="F276" s="3">
        <v>236</v>
      </c>
      <c r="G276" s="3">
        <v>226</v>
      </c>
      <c r="H276" s="3">
        <v>10</v>
      </c>
      <c r="I276" s="5">
        <f t="shared" si="25"/>
        <v>4.2372881355932202E-2</v>
      </c>
      <c r="J276" s="6">
        <f t="shared" si="26"/>
        <v>42372.881355932201</v>
      </c>
      <c r="K276" s="7">
        <v>1.36</v>
      </c>
      <c r="L276" s="3">
        <v>397</v>
      </c>
      <c r="M276" s="3">
        <v>450</v>
      </c>
      <c r="N276" s="3">
        <v>53</v>
      </c>
      <c r="O276" s="5">
        <f t="shared" si="27"/>
        <v>0.88222222222222224</v>
      </c>
      <c r="P276" s="5">
        <f t="shared" si="28"/>
        <v>0.80846347607052904</v>
      </c>
      <c r="Q276" s="5">
        <f t="shared" si="29"/>
        <v>0.9576271186440678</v>
      </c>
      <c r="R276" s="5">
        <f t="shared" si="30"/>
        <v>0.68302222222222231</v>
      </c>
    </row>
    <row r="277" spans="1:18" x14ac:dyDescent="0.25">
      <c r="A277" s="3">
        <v>273</v>
      </c>
      <c r="B277" s="4">
        <v>46253</v>
      </c>
      <c r="C277" s="3" t="s">
        <v>18</v>
      </c>
      <c r="D277" s="3" t="s">
        <v>23</v>
      </c>
      <c r="E277" s="3" t="s">
        <v>20</v>
      </c>
      <c r="F277" s="3">
        <v>996</v>
      </c>
      <c r="G277" s="3">
        <v>990</v>
      </c>
      <c r="H277" s="3">
        <v>6</v>
      </c>
      <c r="I277" s="5">
        <f t="shared" si="25"/>
        <v>6.024096385542169E-3</v>
      </c>
      <c r="J277" s="6">
        <f t="shared" si="26"/>
        <v>6024.0963855421687</v>
      </c>
      <c r="K277" s="7">
        <v>0.39</v>
      </c>
      <c r="L277" s="3">
        <v>393</v>
      </c>
      <c r="M277" s="3">
        <v>450</v>
      </c>
      <c r="N277" s="3">
        <v>57</v>
      </c>
      <c r="O277" s="5">
        <f t="shared" si="27"/>
        <v>0.87333333333333329</v>
      </c>
      <c r="P277" s="5">
        <f t="shared" si="28"/>
        <v>0.98839694656488553</v>
      </c>
      <c r="Q277" s="5">
        <f t="shared" si="29"/>
        <v>0.99397590361445787</v>
      </c>
      <c r="R277" s="5">
        <f t="shared" si="30"/>
        <v>0.85799999999999998</v>
      </c>
    </row>
    <row r="278" spans="1:18" x14ac:dyDescent="0.25">
      <c r="A278" s="3">
        <v>274</v>
      </c>
      <c r="B278" s="4">
        <v>46253</v>
      </c>
      <c r="C278" s="3" t="s">
        <v>25</v>
      </c>
      <c r="D278" s="3" t="s">
        <v>19</v>
      </c>
      <c r="E278" s="3" t="s">
        <v>26</v>
      </c>
      <c r="F278" s="3">
        <v>599</v>
      </c>
      <c r="G278" s="3">
        <v>589</v>
      </c>
      <c r="H278" s="3">
        <v>10</v>
      </c>
      <c r="I278" s="5">
        <f t="shared" si="25"/>
        <v>1.6694490818030049E-2</v>
      </c>
      <c r="J278" s="6">
        <f t="shared" si="26"/>
        <v>16694.490818030048</v>
      </c>
      <c r="K278" s="7">
        <v>0.63</v>
      </c>
      <c r="L278" s="3">
        <v>424</v>
      </c>
      <c r="M278" s="3">
        <v>450</v>
      </c>
      <c r="N278" s="3">
        <v>26</v>
      </c>
      <c r="O278" s="5">
        <f t="shared" si="27"/>
        <v>0.94222222222222218</v>
      </c>
      <c r="P278" s="5">
        <f t="shared" si="28"/>
        <v>0.89002358490566036</v>
      </c>
      <c r="Q278" s="5">
        <f t="shared" si="29"/>
        <v>0.98330550918196991</v>
      </c>
      <c r="R278" s="5">
        <f t="shared" si="30"/>
        <v>0.82459999999999989</v>
      </c>
    </row>
    <row r="279" spans="1:18" x14ac:dyDescent="0.25">
      <c r="A279" s="3">
        <v>275</v>
      </c>
      <c r="B279" s="4">
        <v>46253</v>
      </c>
      <c r="C279" s="3" t="s">
        <v>25</v>
      </c>
      <c r="D279" s="3" t="s">
        <v>21</v>
      </c>
      <c r="E279" s="3" t="s">
        <v>32</v>
      </c>
      <c r="F279" s="3">
        <v>673</v>
      </c>
      <c r="G279" s="3">
        <v>660</v>
      </c>
      <c r="H279" s="3">
        <v>13</v>
      </c>
      <c r="I279" s="5">
        <f t="shared" si="25"/>
        <v>1.9316493313521546E-2</v>
      </c>
      <c r="J279" s="6">
        <f t="shared" si="26"/>
        <v>19316.493313521547</v>
      </c>
      <c r="K279" s="7">
        <v>0.59</v>
      </c>
      <c r="L279" s="3">
        <v>445</v>
      </c>
      <c r="M279" s="3">
        <v>450</v>
      </c>
      <c r="N279" s="3">
        <v>5</v>
      </c>
      <c r="O279" s="5">
        <f t="shared" si="27"/>
        <v>0.98888888888888893</v>
      </c>
      <c r="P279" s="5">
        <f t="shared" si="28"/>
        <v>0.89229213483146064</v>
      </c>
      <c r="Q279" s="5">
        <f t="shared" si="29"/>
        <v>0.98068350668647841</v>
      </c>
      <c r="R279" s="5">
        <f t="shared" si="30"/>
        <v>0.86533333333333329</v>
      </c>
    </row>
    <row r="280" spans="1:18" x14ac:dyDescent="0.25">
      <c r="A280" s="3">
        <v>276</v>
      </c>
      <c r="B280" s="4">
        <v>46253</v>
      </c>
      <c r="C280" s="3" t="s">
        <v>25</v>
      </c>
      <c r="D280" s="3" t="s">
        <v>23</v>
      </c>
      <c r="E280" s="3" t="s">
        <v>34</v>
      </c>
      <c r="F280" s="3">
        <v>262</v>
      </c>
      <c r="G280" s="3">
        <v>260</v>
      </c>
      <c r="H280" s="3">
        <v>2</v>
      </c>
      <c r="I280" s="5">
        <f t="shared" si="25"/>
        <v>7.6335877862595417E-3</v>
      </c>
      <c r="J280" s="6">
        <f t="shared" si="26"/>
        <v>7633.5877862595416</v>
      </c>
      <c r="K280" s="7">
        <v>1.46</v>
      </c>
      <c r="L280" s="3">
        <v>407</v>
      </c>
      <c r="M280" s="3">
        <v>450</v>
      </c>
      <c r="N280" s="3">
        <v>43</v>
      </c>
      <c r="O280" s="5">
        <f t="shared" si="27"/>
        <v>0.9044444444444445</v>
      </c>
      <c r="P280" s="5">
        <f t="shared" si="28"/>
        <v>0.93985257985257986</v>
      </c>
      <c r="Q280" s="5">
        <f t="shared" si="29"/>
        <v>0.99236641221374045</v>
      </c>
      <c r="R280" s="5">
        <f t="shared" si="30"/>
        <v>0.84355555555555561</v>
      </c>
    </row>
    <row r="281" spans="1:18" x14ac:dyDescent="0.25">
      <c r="A281" s="3">
        <v>277</v>
      </c>
      <c r="B281" s="4">
        <v>46253</v>
      </c>
      <c r="C281" s="3" t="s">
        <v>28</v>
      </c>
      <c r="D281" s="3" t="s">
        <v>19</v>
      </c>
      <c r="E281" s="3" t="s">
        <v>29</v>
      </c>
      <c r="F281" s="3">
        <v>505</v>
      </c>
      <c r="G281" s="3">
        <v>502</v>
      </c>
      <c r="H281" s="3">
        <v>3</v>
      </c>
      <c r="I281" s="5">
        <f t="shared" si="25"/>
        <v>5.9405940594059407E-3</v>
      </c>
      <c r="J281" s="6">
        <f t="shared" si="26"/>
        <v>5940.5940594059402</v>
      </c>
      <c r="K281" s="7">
        <v>0.78</v>
      </c>
      <c r="L281" s="3">
        <v>391</v>
      </c>
      <c r="M281" s="3">
        <v>450</v>
      </c>
      <c r="N281" s="3">
        <v>59</v>
      </c>
      <c r="O281" s="5">
        <f t="shared" si="27"/>
        <v>0.86888888888888893</v>
      </c>
      <c r="P281" s="5">
        <f t="shared" si="28"/>
        <v>1.0074168797953964</v>
      </c>
      <c r="Q281" s="5">
        <f t="shared" si="29"/>
        <v>0.99405940594059405</v>
      </c>
      <c r="R281" s="5">
        <f t="shared" si="30"/>
        <v>0.87013333333333343</v>
      </c>
    </row>
    <row r="282" spans="1:18" x14ac:dyDescent="0.25">
      <c r="A282" s="3">
        <v>278</v>
      </c>
      <c r="B282" s="4">
        <v>46253</v>
      </c>
      <c r="C282" s="3" t="s">
        <v>28</v>
      </c>
      <c r="D282" s="3" t="s">
        <v>21</v>
      </c>
      <c r="E282" s="3" t="s">
        <v>26</v>
      </c>
      <c r="F282" s="3">
        <v>420</v>
      </c>
      <c r="G282" s="3">
        <v>411</v>
      </c>
      <c r="H282" s="3">
        <v>9</v>
      </c>
      <c r="I282" s="5">
        <f t="shared" si="25"/>
        <v>2.1428571428571429E-2</v>
      </c>
      <c r="J282" s="6">
        <f t="shared" si="26"/>
        <v>21428.571428571428</v>
      </c>
      <c r="K282" s="7">
        <v>0.94</v>
      </c>
      <c r="L282" s="3">
        <v>388</v>
      </c>
      <c r="M282" s="3">
        <v>450</v>
      </c>
      <c r="N282" s="3">
        <v>62</v>
      </c>
      <c r="O282" s="5">
        <f t="shared" si="27"/>
        <v>0.86222222222222222</v>
      </c>
      <c r="P282" s="5">
        <f t="shared" si="28"/>
        <v>1.0175257731958762</v>
      </c>
      <c r="Q282" s="5">
        <f t="shared" si="29"/>
        <v>0.97857142857142854</v>
      </c>
      <c r="R282" s="5">
        <f t="shared" si="30"/>
        <v>0.85853333333333326</v>
      </c>
    </row>
    <row r="283" spans="1:18" x14ac:dyDescent="0.25">
      <c r="A283" s="3">
        <v>279</v>
      </c>
      <c r="B283" s="4">
        <v>46253</v>
      </c>
      <c r="C283" s="3" t="s">
        <v>28</v>
      </c>
      <c r="D283" s="3" t="s">
        <v>23</v>
      </c>
      <c r="E283" s="3" t="s">
        <v>34</v>
      </c>
      <c r="F283" s="3">
        <v>262</v>
      </c>
      <c r="G283" s="3">
        <v>253</v>
      </c>
      <c r="H283" s="3">
        <v>9</v>
      </c>
      <c r="I283" s="5">
        <f t="shared" si="25"/>
        <v>3.4351145038167941E-2</v>
      </c>
      <c r="J283" s="6">
        <f t="shared" si="26"/>
        <v>34351.145038167939</v>
      </c>
      <c r="K283" s="7">
        <v>1.32</v>
      </c>
      <c r="L283" s="3">
        <v>388</v>
      </c>
      <c r="M283" s="3">
        <v>450</v>
      </c>
      <c r="N283" s="3">
        <v>62</v>
      </c>
      <c r="O283" s="5">
        <f t="shared" si="27"/>
        <v>0.86222222222222222</v>
      </c>
      <c r="P283" s="5">
        <f t="shared" si="28"/>
        <v>0.89134020618556709</v>
      </c>
      <c r="Q283" s="5">
        <f t="shared" si="29"/>
        <v>0.96564885496183206</v>
      </c>
      <c r="R283" s="5">
        <f t="shared" si="30"/>
        <v>0.74213333333333342</v>
      </c>
    </row>
    <row r="284" spans="1:18" x14ac:dyDescent="0.25">
      <c r="A284" s="3">
        <v>280</v>
      </c>
      <c r="B284" s="4">
        <v>46253</v>
      </c>
      <c r="C284" s="3" t="s">
        <v>30</v>
      </c>
      <c r="D284" s="3" t="s">
        <v>19</v>
      </c>
      <c r="E284" s="3" t="s">
        <v>34</v>
      </c>
      <c r="F284" s="3">
        <v>1024</v>
      </c>
      <c r="G284" s="3">
        <v>1011</v>
      </c>
      <c r="H284" s="3">
        <v>13</v>
      </c>
      <c r="I284" s="5">
        <f t="shared" si="25"/>
        <v>1.26953125E-2</v>
      </c>
      <c r="J284" s="6">
        <f t="shared" si="26"/>
        <v>12695.3125</v>
      </c>
      <c r="K284" s="7">
        <v>0.4</v>
      </c>
      <c r="L284" s="3">
        <v>439</v>
      </c>
      <c r="M284" s="3">
        <v>450</v>
      </c>
      <c r="N284" s="3">
        <v>11</v>
      </c>
      <c r="O284" s="5">
        <f t="shared" si="27"/>
        <v>0.97555555555555551</v>
      </c>
      <c r="P284" s="5">
        <f t="shared" si="28"/>
        <v>0.93302961275626428</v>
      </c>
      <c r="Q284" s="5">
        <f t="shared" si="29"/>
        <v>0.9873046875</v>
      </c>
      <c r="R284" s="5">
        <f t="shared" si="30"/>
        <v>0.89866666666666672</v>
      </c>
    </row>
    <row r="285" spans="1:18" x14ac:dyDescent="0.25">
      <c r="A285" s="3">
        <v>281</v>
      </c>
      <c r="B285" s="4">
        <v>46253</v>
      </c>
      <c r="C285" s="3" t="s">
        <v>30</v>
      </c>
      <c r="D285" s="3" t="s">
        <v>21</v>
      </c>
      <c r="E285" s="3" t="s">
        <v>34</v>
      </c>
      <c r="F285" s="3">
        <v>287</v>
      </c>
      <c r="G285" s="3">
        <v>275</v>
      </c>
      <c r="H285" s="3">
        <v>12</v>
      </c>
      <c r="I285" s="5">
        <f t="shared" si="25"/>
        <v>4.1811846689895474E-2</v>
      </c>
      <c r="J285" s="6">
        <f t="shared" si="26"/>
        <v>41811.846689895472</v>
      </c>
      <c r="K285" s="7">
        <v>1.32</v>
      </c>
      <c r="L285" s="3">
        <v>437</v>
      </c>
      <c r="M285" s="3">
        <v>450</v>
      </c>
      <c r="N285" s="3">
        <v>13</v>
      </c>
      <c r="O285" s="5">
        <f t="shared" si="27"/>
        <v>0.97111111111111115</v>
      </c>
      <c r="P285" s="5">
        <f t="shared" si="28"/>
        <v>0.8669107551487415</v>
      </c>
      <c r="Q285" s="5">
        <f t="shared" si="29"/>
        <v>0.95818815331010454</v>
      </c>
      <c r="R285" s="5">
        <f t="shared" si="30"/>
        <v>0.80666666666666675</v>
      </c>
    </row>
    <row r="286" spans="1:18" x14ac:dyDescent="0.25">
      <c r="A286" s="3">
        <v>282</v>
      </c>
      <c r="B286" s="4">
        <v>46253</v>
      </c>
      <c r="C286" s="3" t="s">
        <v>30</v>
      </c>
      <c r="D286" s="3" t="s">
        <v>23</v>
      </c>
      <c r="E286" s="3" t="s">
        <v>22</v>
      </c>
      <c r="F286" s="3">
        <v>261</v>
      </c>
      <c r="G286" s="3">
        <v>257</v>
      </c>
      <c r="H286" s="3">
        <v>4</v>
      </c>
      <c r="I286" s="5">
        <f t="shared" si="25"/>
        <v>1.532567049808429E-2</v>
      </c>
      <c r="J286" s="6">
        <f t="shared" si="26"/>
        <v>15325.67049808429</v>
      </c>
      <c r="K286" s="7">
        <v>1.54</v>
      </c>
      <c r="L286" s="3">
        <v>413</v>
      </c>
      <c r="M286" s="3">
        <v>450</v>
      </c>
      <c r="N286" s="3">
        <v>37</v>
      </c>
      <c r="O286" s="5">
        <f t="shared" si="27"/>
        <v>0.9177777777777778</v>
      </c>
      <c r="P286" s="5">
        <f t="shared" si="28"/>
        <v>0.97322033898305083</v>
      </c>
      <c r="Q286" s="5">
        <f t="shared" si="29"/>
        <v>0.98467432950191569</v>
      </c>
      <c r="R286" s="5">
        <f t="shared" si="30"/>
        <v>0.87951111111111113</v>
      </c>
    </row>
    <row r="287" spans="1:18" x14ac:dyDescent="0.25">
      <c r="A287" s="3">
        <v>283</v>
      </c>
      <c r="B287" s="4">
        <v>46253</v>
      </c>
      <c r="C287" s="3" t="s">
        <v>33</v>
      </c>
      <c r="D287" s="3" t="s">
        <v>19</v>
      </c>
      <c r="E287" s="3" t="s">
        <v>20</v>
      </c>
      <c r="F287" s="3">
        <v>321</v>
      </c>
      <c r="G287" s="3">
        <v>308</v>
      </c>
      <c r="H287" s="3">
        <v>13</v>
      </c>
      <c r="I287" s="5">
        <f t="shared" si="25"/>
        <v>4.0498442367601244E-2</v>
      </c>
      <c r="J287" s="6">
        <f t="shared" si="26"/>
        <v>40498.442367601245</v>
      </c>
      <c r="K287" s="7">
        <v>1.07</v>
      </c>
      <c r="L287" s="3">
        <v>415</v>
      </c>
      <c r="M287" s="3">
        <v>450</v>
      </c>
      <c r="N287" s="3">
        <v>35</v>
      </c>
      <c r="O287" s="5">
        <f t="shared" si="27"/>
        <v>0.92222222222222228</v>
      </c>
      <c r="P287" s="5">
        <f t="shared" si="28"/>
        <v>0.82763855421686749</v>
      </c>
      <c r="Q287" s="5">
        <f t="shared" si="29"/>
        <v>0.95950155763239875</v>
      </c>
      <c r="R287" s="5">
        <f t="shared" si="30"/>
        <v>0.73235555555555565</v>
      </c>
    </row>
    <row r="288" spans="1:18" x14ac:dyDescent="0.25">
      <c r="A288" s="3">
        <v>284</v>
      </c>
      <c r="B288" s="4">
        <v>46253</v>
      </c>
      <c r="C288" s="3" t="s">
        <v>33</v>
      </c>
      <c r="D288" s="3" t="s">
        <v>21</v>
      </c>
      <c r="E288" s="3" t="s">
        <v>24</v>
      </c>
      <c r="F288" s="3">
        <v>253</v>
      </c>
      <c r="G288" s="3">
        <v>242</v>
      </c>
      <c r="H288" s="3">
        <v>11</v>
      </c>
      <c r="I288" s="5">
        <f t="shared" si="25"/>
        <v>4.3478260869565216E-2</v>
      </c>
      <c r="J288" s="6">
        <f t="shared" si="26"/>
        <v>43478.260869565216</v>
      </c>
      <c r="K288" s="7">
        <v>1.54</v>
      </c>
      <c r="L288" s="3">
        <v>390</v>
      </c>
      <c r="M288" s="3">
        <v>450</v>
      </c>
      <c r="N288" s="3">
        <v>60</v>
      </c>
      <c r="O288" s="5">
        <f t="shared" si="27"/>
        <v>0.8666666666666667</v>
      </c>
      <c r="P288" s="5">
        <f t="shared" si="28"/>
        <v>0.99902564102564106</v>
      </c>
      <c r="Q288" s="5">
        <f t="shared" si="29"/>
        <v>0.95652173913043481</v>
      </c>
      <c r="R288" s="5">
        <f t="shared" si="30"/>
        <v>0.8281777777777779</v>
      </c>
    </row>
    <row r="289" spans="1:18" x14ac:dyDescent="0.25">
      <c r="A289" s="3">
        <v>285</v>
      </c>
      <c r="B289" s="4">
        <v>46253</v>
      </c>
      <c r="C289" s="3" t="s">
        <v>33</v>
      </c>
      <c r="D289" s="3" t="s">
        <v>23</v>
      </c>
      <c r="E289" s="3" t="s">
        <v>26</v>
      </c>
      <c r="F289" s="3">
        <v>580</v>
      </c>
      <c r="G289" s="3">
        <v>564</v>
      </c>
      <c r="H289" s="3">
        <v>16</v>
      </c>
      <c r="I289" s="5">
        <f t="shared" si="25"/>
        <v>2.7586206896551724E-2</v>
      </c>
      <c r="J289" s="6">
        <f t="shared" si="26"/>
        <v>27586.206896551725</v>
      </c>
      <c r="K289" s="7">
        <v>0.68</v>
      </c>
      <c r="L289" s="3">
        <v>390</v>
      </c>
      <c r="M289" s="3">
        <v>450</v>
      </c>
      <c r="N289" s="3">
        <v>60</v>
      </c>
      <c r="O289" s="5">
        <f t="shared" si="27"/>
        <v>0.8666666666666667</v>
      </c>
      <c r="P289" s="5">
        <f t="shared" si="28"/>
        <v>1.0112820512820513</v>
      </c>
      <c r="Q289" s="5">
        <f t="shared" si="29"/>
        <v>0.97241379310344822</v>
      </c>
      <c r="R289" s="5">
        <f t="shared" si="30"/>
        <v>0.85226666666666662</v>
      </c>
    </row>
    <row r="290" spans="1:18" x14ac:dyDescent="0.25">
      <c r="A290" s="3">
        <v>286</v>
      </c>
      <c r="B290" s="4">
        <v>46254</v>
      </c>
      <c r="C290" s="3" t="s">
        <v>18</v>
      </c>
      <c r="D290" s="3" t="s">
        <v>19</v>
      </c>
      <c r="E290" s="3" t="s">
        <v>32</v>
      </c>
      <c r="F290" s="3">
        <v>362</v>
      </c>
      <c r="G290" s="3">
        <v>357</v>
      </c>
      <c r="H290" s="3">
        <v>5</v>
      </c>
      <c r="I290" s="5">
        <f t="shared" si="25"/>
        <v>1.3812154696132596E-2</v>
      </c>
      <c r="J290" s="6">
        <f t="shared" si="26"/>
        <v>13812.154696132597</v>
      </c>
      <c r="K290" s="7">
        <v>0.96</v>
      </c>
      <c r="L290" s="3">
        <v>402</v>
      </c>
      <c r="M290" s="3">
        <v>450</v>
      </c>
      <c r="N290" s="3">
        <v>48</v>
      </c>
      <c r="O290" s="5">
        <f t="shared" si="27"/>
        <v>0.89333333333333331</v>
      </c>
      <c r="P290" s="5">
        <f t="shared" si="28"/>
        <v>0.86447761194029848</v>
      </c>
      <c r="Q290" s="5">
        <f t="shared" si="29"/>
        <v>0.98618784530386738</v>
      </c>
      <c r="R290" s="5">
        <f t="shared" si="30"/>
        <v>0.76159999999999994</v>
      </c>
    </row>
    <row r="291" spans="1:18" x14ac:dyDescent="0.25">
      <c r="A291" s="3">
        <v>287</v>
      </c>
      <c r="B291" s="4">
        <v>46254</v>
      </c>
      <c r="C291" s="3" t="s">
        <v>18</v>
      </c>
      <c r="D291" s="3" t="s">
        <v>21</v>
      </c>
      <c r="E291" s="3" t="s">
        <v>26</v>
      </c>
      <c r="F291" s="3">
        <v>470</v>
      </c>
      <c r="G291" s="3">
        <v>459</v>
      </c>
      <c r="H291" s="3">
        <v>11</v>
      </c>
      <c r="I291" s="5">
        <f t="shared" si="25"/>
        <v>2.3404255319148935E-2</v>
      </c>
      <c r="J291" s="6">
        <f t="shared" si="26"/>
        <v>23404.255319148935</v>
      </c>
      <c r="K291" s="7">
        <v>0.7</v>
      </c>
      <c r="L291" s="3">
        <v>411</v>
      </c>
      <c r="M291" s="3">
        <v>450</v>
      </c>
      <c r="N291" s="3">
        <v>39</v>
      </c>
      <c r="O291" s="5">
        <f t="shared" si="27"/>
        <v>0.91333333333333333</v>
      </c>
      <c r="P291" s="5">
        <f t="shared" si="28"/>
        <v>0.8004866180048662</v>
      </c>
      <c r="Q291" s="5">
        <f t="shared" si="29"/>
        <v>0.97659574468085109</v>
      </c>
      <c r="R291" s="5">
        <f t="shared" si="30"/>
        <v>0.71400000000000008</v>
      </c>
    </row>
    <row r="292" spans="1:18" x14ac:dyDescent="0.25">
      <c r="A292" s="3">
        <v>288</v>
      </c>
      <c r="B292" s="4">
        <v>46254</v>
      </c>
      <c r="C292" s="3" t="s">
        <v>18</v>
      </c>
      <c r="D292" s="3" t="s">
        <v>23</v>
      </c>
      <c r="E292" s="3" t="s">
        <v>24</v>
      </c>
      <c r="F292" s="3">
        <v>228</v>
      </c>
      <c r="G292" s="3">
        <v>223</v>
      </c>
      <c r="H292" s="3">
        <v>5</v>
      </c>
      <c r="I292" s="5">
        <f t="shared" si="25"/>
        <v>2.1929824561403508E-2</v>
      </c>
      <c r="J292" s="6">
        <f t="shared" si="26"/>
        <v>21929.824561403508</v>
      </c>
      <c r="K292" s="7">
        <v>1.64</v>
      </c>
      <c r="L292" s="3">
        <v>412</v>
      </c>
      <c r="M292" s="3">
        <v>450</v>
      </c>
      <c r="N292" s="3">
        <v>38</v>
      </c>
      <c r="O292" s="5">
        <f t="shared" si="27"/>
        <v>0.91555555555555557</v>
      </c>
      <c r="P292" s="5">
        <f t="shared" si="28"/>
        <v>0.9075728155339805</v>
      </c>
      <c r="Q292" s="5">
        <f t="shared" si="29"/>
        <v>0.97807017543859653</v>
      </c>
      <c r="R292" s="5">
        <f t="shared" si="30"/>
        <v>0.81271111111111116</v>
      </c>
    </row>
    <row r="293" spans="1:18" x14ac:dyDescent="0.25">
      <c r="A293" s="3">
        <v>289</v>
      </c>
      <c r="B293" s="4">
        <v>46254</v>
      </c>
      <c r="C293" s="3" t="s">
        <v>25</v>
      </c>
      <c r="D293" s="3" t="s">
        <v>19</v>
      </c>
      <c r="E293" s="3" t="s">
        <v>31</v>
      </c>
      <c r="F293" s="3">
        <v>332</v>
      </c>
      <c r="G293" s="3">
        <v>320</v>
      </c>
      <c r="H293" s="3">
        <v>12</v>
      </c>
      <c r="I293" s="5">
        <f t="shared" si="25"/>
        <v>3.614457831325301E-2</v>
      </c>
      <c r="J293" s="6">
        <f t="shared" si="26"/>
        <v>36144.578313253012</v>
      </c>
      <c r="K293" s="7">
        <v>1.02</v>
      </c>
      <c r="L293" s="3">
        <v>407</v>
      </c>
      <c r="M293" s="3">
        <v>450</v>
      </c>
      <c r="N293" s="3">
        <v>43</v>
      </c>
      <c r="O293" s="5">
        <f t="shared" si="27"/>
        <v>0.9044444444444445</v>
      </c>
      <c r="P293" s="5">
        <f t="shared" si="28"/>
        <v>0.83203931203931203</v>
      </c>
      <c r="Q293" s="5">
        <f t="shared" si="29"/>
        <v>0.96385542168674698</v>
      </c>
      <c r="R293" s="5">
        <f t="shared" si="30"/>
        <v>0.72533333333333339</v>
      </c>
    </row>
    <row r="294" spans="1:18" x14ac:dyDescent="0.25">
      <c r="A294" s="3">
        <v>290</v>
      </c>
      <c r="B294" s="4">
        <v>46254</v>
      </c>
      <c r="C294" s="3" t="s">
        <v>25</v>
      </c>
      <c r="D294" s="3" t="s">
        <v>21</v>
      </c>
      <c r="E294" s="3" t="s">
        <v>35</v>
      </c>
      <c r="F294" s="3">
        <v>609</v>
      </c>
      <c r="G294" s="3">
        <v>592</v>
      </c>
      <c r="H294" s="3">
        <v>17</v>
      </c>
      <c r="I294" s="5">
        <f t="shared" si="25"/>
        <v>2.7914614121510674E-2</v>
      </c>
      <c r="J294" s="6">
        <f t="shared" si="26"/>
        <v>27914.614121510673</v>
      </c>
      <c r="K294" s="7">
        <v>0.64</v>
      </c>
      <c r="L294" s="3">
        <v>402</v>
      </c>
      <c r="M294" s="3">
        <v>450</v>
      </c>
      <c r="N294" s="3">
        <v>48</v>
      </c>
      <c r="O294" s="5">
        <f t="shared" si="27"/>
        <v>0.89333333333333331</v>
      </c>
      <c r="P294" s="5">
        <f t="shared" si="28"/>
        <v>0.96955223880597008</v>
      </c>
      <c r="Q294" s="5">
        <f t="shared" si="29"/>
        <v>0.97208538587848936</v>
      </c>
      <c r="R294" s="5">
        <f t="shared" si="30"/>
        <v>0.84195555555555546</v>
      </c>
    </row>
    <row r="295" spans="1:18" x14ac:dyDescent="0.25">
      <c r="A295" s="3">
        <v>291</v>
      </c>
      <c r="B295" s="4">
        <v>46254</v>
      </c>
      <c r="C295" s="3" t="s">
        <v>25</v>
      </c>
      <c r="D295" s="3" t="s">
        <v>23</v>
      </c>
      <c r="E295" s="3" t="s">
        <v>34</v>
      </c>
      <c r="F295" s="3">
        <v>214</v>
      </c>
      <c r="G295" s="3">
        <v>205</v>
      </c>
      <c r="H295" s="3">
        <v>9</v>
      </c>
      <c r="I295" s="5">
        <f t="shared" si="25"/>
        <v>4.2056074766355138E-2</v>
      </c>
      <c r="J295" s="6">
        <f t="shared" si="26"/>
        <v>42056.074766355137</v>
      </c>
      <c r="K295" s="7">
        <v>1.6</v>
      </c>
      <c r="L295" s="3">
        <v>402</v>
      </c>
      <c r="M295" s="3">
        <v>450</v>
      </c>
      <c r="N295" s="3">
        <v>48</v>
      </c>
      <c r="O295" s="5">
        <f t="shared" si="27"/>
        <v>0.89333333333333331</v>
      </c>
      <c r="P295" s="5">
        <f t="shared" si="28"/>
        <v>0.85174129353233841</v>
      </c>
      <c r="Q295" s="5">
        <f t="shared" si="29"/>
        <v>0.95794392523364491</v>
      </c>
      <c r="R295" s="5">
        <f t="shared" si="30"/>
        <v>0.72888888888888903</v>
      </c>
    </row>
    <row r="296" spans="1:18" x14ac:dyDescent="0.25">
      <c r="A296" s="3">
        <v>292</v>
      </c>
      <c r="B296" s="4">
        <v>46254</v>
      </c>
      <c r="C296" s="3" t="s">
        <v>28</v>
      </c>
      <c r="D296" s="3" t="s">
        <v>19</v>
      </c>
      <c r="E296" s="3" t="s">
        <v>29</v>
      </c>
      <c r="F296" s="3">
        <v>261</v>
      </c>
      <c r="G296" s="3">
        <v>251</v>
      </c>
      <c r="H296" s="3">
        <v>10</v>
      </c>
      <c r="I296" s="5">
        <f t="shared" si="25"/>
        <v>3.8314176245210725E-2</v>
      </c>
      <c r="J296" s="6">
        <f t="shared" si="26"/>
        <v>38314.176245210729</v>
      </c>
      <c r="K296" s="7">
        <v>1.41</v>
      </c>
      <c r="L296" s="3">
        <v>389</v>
      </c>
      <c r="M296" s="3">
        <v>450</v>
      </c>
      <c r="N296" s="3">
        <v>61</v>
      </c>
      <c r="O296" s="5">
        <f t="shared" si="27"/>
        <v>0.86444444444444446</v>
      </c>
      <c r="P296" s="5">
        <f t="shared" si="28"/>
        <v>0.94604113110539845</v>
      </c>
      <c r="Q296" s="5">
        <f t="shared" si="29"/>
        <v>0.96168582375478928</v>
      </c>
      <c r="R296" s="5">
        <f t="shared" si="30"/>
        <v>0.78646666666666665</v>
      </c>
    </row>
    <row r="297" spans="1:18" x14ac:dyDescent="0.25">
      <c r="A297" s="3">
        <v>293</v>
      </c>
      <c r="B297" s="4">
        <v>46254</v>
      </c>
      <c r="C297" s="3" t="s">
        <v>28</v>
      </c>
      <c r="D297" s="3" t="s">
        <v>21</v>
      </c>
      <c r="E297" s="3" t="s">
        <v>29</v>
      </c>
      <c r="F297" s="3">
        <v>196</v>
      </c>
      <c r="G297" s="3">
        <v>189</v>
      </c>
      <c r="H297" s="3">
        <v>7</v>
      </c>
      <c r="I297" s="5">
        <f t="shared" si="25"/>
        <v>3.5714285714285712E-2</v>
      </c>
      <c r="J297" s="6">
        <f t="shared" si="26"/>
        <v>35714.28571428571</v>
      </c>
      <c r="K297" s="7">
        <v>1.79</v>
      </c>
      <c r="L297" s="3">
        <v>397</v>
      </c>
      <c r="M297" s="3">
        <v>450</v>
      </c>
      <c r="N297" s="3">
        <v>53</v>
      </c>
      <c r="O297" s="5">
        <f t="shared" si="27"/>
        <v>0.88222222222222224</v>
      </c>
      <c r="P297" s="5">
        <f t="shared" si="28"/>
        <v>0.8837279596977331</v>
      </c>
      <c r="Q297" s="5">
        <f t="shared" si="29"/>
        <v>0.9642857142857143</v>
      </c>
      <c r="R297" s="5">
        <f t="shared" si="30"/>
        <v>0.75180000000000013</v>
      </c>
    </row>
    <row r="298" spans="1:18" x14ac:dyDescent="0.25">
      <c r="A298" s="3">
        <v>294</v>
      </c>
      <c r="B298" s="4">
        <v>46254</v>
      </c>
      <c r="C298" s="3" t="s">
        <v>28</v>
      </c>
      <c r="D298" s="3" t="s">
        <v>23</v>
      </c>
      <c r="E298" s="3" t="s">
        <v>35</v>
      </c>
      <c r="F298" s="3">
        <v>312</v>
      </c>
      <c r="G298" s="3">
        <v>306</v>
      </c>
      <c r="H298" s="3">
        <v>6</v>
      </c>
      <c r="I298" s="5">
        <f t="shared" si="25"/>
        <v>1.9230769230769232E-2</v>
      </c>
      <c r="J298" s="6">
        <f t="shared" si="26"/>
        <v>19230.76923076923</v>
      </c>
      <c r="K298" s="7">
        <v>1.43</v>
      </c>
      <c r="L298" s="3">
        <v>441</v>
      </c>
      <c r="M298" s="3">
        <v>450</v>
      </c>
      <c r="N298" s="3">
        <v>9</v>
      </c>
      <c r="O298" s="5">
        <f t="shared" si="27"/>
        <v>0.98</v>
      </c>
      <c r="P298" s="5">
        <f t="shared" si="28"/>
        <v>1.0117006802721087</v>
      </c>
      <c r="Q298" s="5">
        <f t="shared" si="29"/>
        <v>0.98076923076923073</v>
      </c>
      <c r="R298" s="5">
        <f t="shared" si="30"/>
        <v>0.97239999999999982</v>
      </c>
    </row>
    <row r="299" spans="1:18" x14ac:dyDescent="0.25">
      <c r="A299" s="3">
        <v>295</v>
      </c>
      <c r="B299" s="4">
        <v>46254</v>
      </c>
      <c r="C299" s="3" t="s">
        <v>30</v>
      </c>
      <c r="D299" s="3" t="s">
        <v>19</v>
      </c>
      <c r="E299" s="3" t="s">
        <v>32</v>
      </c>
      <c r="F299" s="3">
        <v>288</v>
      </c>
      <c r="G299" s="3">
        <v>284</v>
      </c>
      <c r="H299" s="3">
        <v>4</v>
      </c>
      <c r="I299" s="5">
        <f t="shared" si="25"/>
        <v>1.3888888888888888E-2</v>
      </c>
      <c r="J299" s="6">
        <f t="shared" si="26"/>
        <v>13888.888888888889</v>
      </c>
      <c r="K299" s="7">
        <v>1.17</v>
      </c>
      <c r="L299" s="3">
        <v>418</v>
      </c>
      <c r="M299" s="3">
        <v>450</v>
      </c>
      <c r="N299" s="3">
        <v>32</v>
      </c>
      <c r="O299" s="5">
        <f t="shared" si="27"/>
        <v>0.92888888888888888</v>
      </c>
      <c r="P299" s="5">
        <f t="shared" si="28"/>
        <v>0.80612440191387558</v>
      </c>
      <c r="Q299" s="5">
        <f t="shared" si="29"/>
        <v>0.98611111111111116</v>
      </c>
      <c r="R299" s="5">
        <f t="shared" si="30"/>
        <v>0.73840000000000006</v>
      </c>
    </row>
    <row r="300" spans="1:18" x14ac:dyDescent="0.25">
      <c r="A300" s="3">
        <v>296</v>
      </c>
      <c r="B300" s="4">
        <v>46254</v>
      </c>
      <c r="C300" s="3" t="s">
        <v>30</v>
      </c>
      <c r="D300" s="3" t="s">
        <v>21</v>
      </c>
      <c r="E300" s="3" t="s">
        <v>29</v>
      </c>
      <c r="F300" s="3">
        <v>225</v>
      </c>
      <c r="G300" s="3">
        <v>222</v>
      </c>
      <c r="H300" s="3">
        <v>3</v>
      </c>
      <c r="I300" s="5">
        <f t="shared" si="25"/>
        <v>1.3333333333333334E-2</v>
      </c>
      <c r="J300" s="6">
        <f t="shared" si="26"/>
        <v>13333.333333333334</v>
      </c>
      <c r="K300" s="7">
        <v>1.57</v>
      </c>
      <c r="L300" s="3">
        <v>403</v>
      </c>
      <c r="M300" s="3">
        <v>450</v>
      </c>
      <c r="N300" s="3">
        <v>47</v>
      </c>
      <c r="O300" s="5">
        <f t="shared" si="27"/>
        <v>0.89555555555555555</v>
      </c>
      <c r="P300" s="5">
        <f t="shared" si="28"/>
        <v>0.87655086848635233</v>
      </c>
      <c r="Q300" s="5">
        <f t="shared" si="29"/>
        <v>0.98666666666666669</v>
      </c>
      <c r="R300" s="5">
        <f t="shared" si="30"/>
        <v>0.7745333333333333</v>
      </c>
    </row>
    <row r="301" spans="1:18" x14ac:dyDescent="0.25">
      <c r="A301" s="3">
        <v>297</v>
      </c>
      <c r="B301" s="4">
        <v>46254</v>
      </c>
      <c r="C301" s="3" t="s">
        <v>30</v>
      </c>
      <c r="D301" s="3" t="s">
        <v>23</v>
      </c>
      <c r="E301" s="3" t="s">
        <v>35</v>
      </c>
      <c r="F301" s="3">
        <v>389</v>
      </c>
      <c r="G301" s="3">
        <v>373</v>
      </c>
      <c r="H301" s="3">
        <v>16</v>
      </c>
      <c r="I301" s="5">
        <f t="shared" si="25"/>
        <v>4.1131105398457581E-2</v>
      </c>
      <c r="J301" s="6">
        <f t="shared" si="26"/>
        <v>41131.105398457577</v>
      </c>
      <c r="K301" s="7">
        <v>1.06</v>
      </c>
      <c r="L301" s="3">
        <v>421</v>
      </c>
      <c r="M301" s="3">
        <v>450</v>
      </c>
      <c r="N301" s="3">
        <v>29</v>
      </c>
      <c r="O301" s="5">
        <f t="shared" si="27"/>
        <v>0.93555555555555558</v>
      </c>
      <c r="P301" s="5">
        <f t="shared" si="28"/>
        <v>0.97942992874109269</v>
      </c>
      <c r="Q301" s="5">
        <f t="shared" si="29"/>
        <v>0.95886889460154245</v>
      </c>
      <c r="R301" s="5">
        <f t="shared" si="30"/>
        <v>0.8786222222222223</v>
      </c>
    </row>
    <row r="302" spans="1:18" x14ac:dyDescent="0.25">
      <c r="A302" s="3">
        <v>298</v>
      </c>
      <c r="B302" s="4">
        <v>46254</v>
      </c>
      <c r="C302" s="3" t="s">
        <v>33</v>
      </c>
      <c r="D302" s="3" t="s">
        <v>19</v>
      </c>
      <c r="E302" s="3" t="s">
        <v>35</v>
      </c>
      <c r="F302" s="3">
        <v>797</v>
      </c>
      <c r="G302" s="3">
        <v>774</v>
      </c>
      <c r="H302" s="3">
        <v>23</v>
      </c>
      <c r="I302" s="5">
        <f t="shared" si="25"/>
        <v>2.8858218318695106E-2</v>
      </c>
      <c r="J302" s="6">
        <f t="shared" si="26"/>
        <v>28858.218318695108</v>
      </c>
      <c r="K302" s="7">
        <v>0.45</v>
      </c>
      <c r="L302" s="3">
        <v>400</v>
      </c>
      <c r="M302" s="3">
        <v>450</v>
      </c>
      <c r="N302" s="3">
        <v>50</v>
      </c>
      <c r="O302" s="5">
        <f t="shared" si="27"/>
        <v>0.88888888888888884</v>
      </c>
      <c r="P302" s="5">
        <f t="shared" si="28"/>
        <v>0.89662500000000012</v>
      </c>
      <c r="Q302" s="5">
        <f t="shared" si="29"/>
        <v>0.97114178168130494</v>
      </c>
      <c r="R302" s="5">
        <f t="shared" si="30"/>
        <v>0.77400000000000002</v>
      </c>
    </row>
    <row r="303" spans="1:18" x14ac:dyDescent="0.25">
      <c r="A303" s="3">
        <v>299</v>
      </c>
      <c r="B303" s="4">
        <v>46254</v>
      </c>
      <c r="C303" s="3" t="s">
        <v>33</v>
      </c>
      <c r="D303" s="3" t="s">
        <v>21</v>
      </c>
      <c r="E303" s="3" t="s">
        <v>34</v>
      </c>
      <c r="F303" s="3">
        <v>360</v>
      </c>
      <c r="G303" s="3">
        <v>352</v>
      </c>
      <c r="H303" s="3">
        <v>8</v>
      </c>
      <c r="I303" s="5">
        <f t="shared" si="25"/>
        <v>2.2222222222222223E-2</v>
      </c>
      <c r="J303" s="6">
        <f t="shared" si="26"/>
        <v>22222.222222222223</v>
      </c>
      <c r="K303" s="7">
        <v>1</v>
      </c>
      <c r="L303" s="3">
        <v>410</v>
      </c>
      <c r="M303" s="3">
        <v>450</v>
      </c>
      <c r="N303" s="3">
        <v>40</v>
      </c>
      <c r="O303" s="5">
        <f t="shared" si="27"/>
        <v>0.91111111111111109</v>
      </c>
      <c r="P303" s="5">
        <f t="shared" si="28"/>
        <v>0.87804878048780488</v>
      </c>
      <c r="Q303" s="5">
        <f t="shared" si="29"/>
        <v>0.97777777777777775</v>
      </c>
      <c r="R303" s="5">
        <f t="shared" si="30"/>
        <v>0.78222222222222215</v>
      </c>
    </row>
    <row r="304" spans="1:18" x14ac:dyDescent="0.25">
      <c r="A304" s="3">
        <v>300</v>
      </c>
      <c r="B304" s="4">
        <v>46254</v>
      </c>
      <c r="C304" s="3" t="s">
        <v>33</v>
      </c>
      <c r="D304" s="3" t="s">
        <v>23</v>
      </c>
      <c r="E304" s="3" t="s">
        <v>24</v>
      </c>
      <c r="F304" s="3">
        <v>326</v>
      </c>
      <c r="G304" s="3">
        <v>314</v>
      </c>
      <c r="H304" s="3">
        <v>12</v>
      </c>
      <c r="I304" s="5">
        <f t="shared" si="25"/>
        <v>3.6809815950920248E-2</v>
      </c>
      <c r="J304" s="6">
        <f t="shared" si="26"/>
        <v>36809.815950920245</v>
      </c>
      <c r="K304" s="7">
        <v>1.19</v>
      </c>
      <c r="L304" s="3">
        <v>432</v>
      </c>
      <c r="M304" s="3">
        <v>450</v>
      </c>
      <c r="N304" s="3">
        <v>18</v>
      </c>
      <c r="O304" s="5">
        <f t="shared" si="27"/>
        <v>0.96</v>
      </c>
      <c r="P304" s="5">
        <f t="shared" si="28"/>
        <v>0.89800925925925923</v>
      </c>
      <c r="Q304" s="5">
        <f t="shared" si="29"/>
        <v>0.96319018404907975</v>
      </c>
      <c r="R304" s="5">
        <f t="shared" si="30"/>
        <v>0.8303555555555554</v>
      </c>
    </row>
    <row r="305" spans="1:18" x14ac:dyDescent="0.25">
      <c r="A305" s="3">
        <v>301</v>
      </c>
      <c r="B305" s="4">
        <v>46255</v>
      </c>
      <c r="C305" s="3" t="s">
        <v>18</v>
      </c>
      <c r="D305" s="3" t="s">
        <v>19</v>
      </c>
      <c r="E305" s="3" t="s">
        <v>24</v>
      </c>
      <c r="F305" s="3">
        <v>251</v>
      </c>
      <c r="G305" s="3">
        <v>242</v>
      </c>
      <c r="H305" s="3">
        <v>9</v>
      </c>
      <c r="I305" s="5">
        <f t="shared" si="25"/>
        <v>3.5856573705179286E-2</v>
      </c>
      <c r="J305" s="6">
        <f t="shared" si="26"/>
        <v>35856.573705179282</v>
      </c>
      <c r="K305" s="7">
        <v>1.43</v>
      </c>
      <c r="L305" s="3">
        <v>415</v>
      </c>
      <c r="M305" s="3">
        <v>450</v>
      </c>
      <c r="N305" s="3">
        <v>35</v>
      </c>
      <c r="O305" s="5">
        <f t="shared" si="27"/>
        <v>0.92222222222222228</v>
      </c>
      <c r="P305" s="5">
        <f t="shared" si="28"/>
        <v>0.86489156626506025</v>
      </c>
      <c r="Q305" s="5">
        <f t="shared" si="29"/>
        <v>0.96414342629482075</v>
      </c>
      <c r="R305" s="5">
        <f t="shared" si="30"/>
        <v>0.76902222222222227</v>
      </c>
    </row>
    <row r="306" spans="1:18" x14ac:dyDescent="0.25">
      <c r="A306" s="3">
        <v>302</v>
      </c>
      <c r="B306" s="4">
        <v>46255</v>
      </c>
      <c r="C306" s="3" t="s">
        <v>18</v>
      </c>
      <c r="D306" s="3" t="s">
        <v>21</v>
      </c>
      <c r="E306" s="3" t="s">
        <v>24</v>
      </c>
      <c r="F306" s="3">
        <v>249</v>
      </c>
      <c r="G306" s="3">
        <v>245</v>
      </c>
      <c r="H306" s="3">
        <v>4</v>
      </c>
      <c r="I306" s="5">
        <f t="shared" si="25"/>
        <v>1.6064257028112448E-2</v>
      </c>
      <c r="J306" s="6">
        <f t="shared" si="26"/>
        <v>16064.257028112448</v>
      </c>
      <c r="K306" s="7">
        <v>1.59</v>
      </c>
      <c r="L306" s="3">
        <v>429</v>
      </c>
      <c r="M306" s="3">
        <v>450</v>
      </c>
      <c r="N306" s="3">
        <v>21</v>
      </c>
      <c r="O306" s="5">
        <f t="shared" si="27"/>
        <v>0.95333333333333337</v>
      </c>
      <c r="P306" s="5">
        <f t="shared" si="28"/>
        <v>0.92286713286713296</v>
      </c>
      <c r="Q306" s="5">
        <f t="shared" si="29"/>
        <v>0.98393574297188757</v>
      </c>
      <c r="R306" s="5">
        <f t="shared" si="30"/>
        <v>0.86566666666666681</v>
      </c>
    </row>
    <row r="307" spans="1:18" x14ac:dyDescent="0.25">
      <c r="A307" s="3">
        <v>303</v>
      </c>
      <c r="B307" s="4">
        <v>46255</v>
      </c>
      <c r="C307" s="3" t="s">
        <v>18</v>
      </c>
      <c r="D307" s="3" t="s">
        <v>23</v>
      </c>
      <c r="E307" s="3" t="s">
        <v>26</v>
      </c>
      <c r="F307" s="3">
        <v>257</v>
      </c>
      <c r="G307" s="3">
        <v>249</v>
      </c>
      <c r="H307" s="3">
        <v>8</v>
      </c>
      <c r="I307" s="5">
        <f t="shared" si="25"/>
        <v>3.1128404669260701E-2</v>
      </c>
      <c r="J307" s="6">
        <f t="shared" si="26"/>
        <v>31128.404669260701</v>
      </c>
      <c r="K307" s="7">
        <v>1.42</v>
      </c>
      <c r="L307" s="3">
        <v>436</v>
      </c>
      <c r="M307" s="3">
        <v>450</v>
      </c>
      <c r="N307" s="3">
        <v>14</v>
      </c>
      <c r="O307" s="5">
        <f t="shared" si="27"/>
        <v>0.96888888888888891</v>
      </c>
      <c r="P307" s="5">
        <f t="shared" si="28"/>
        <v>0.83701834862385316</v>
      </c>
      <c r="Q307" s="5">
        <f t="shared" si="29"/>
        <v>0.9688715953307393</v>
      </c>
      <c r="R307" s="5">
        <f t="shared" si="30"/>
        <v>0.78573333333333339</v>
      </c>
    </row>
    <row r="308" spans="1:18" x14ac:dyDescent="0.25">
      <c r="A308" s="3">
        <v>304</v>
      </c>
      <c r="B308" s="4">
        <v>46255</v>
      </c>
      <c r="C308" s="3" t="s">
        <v>25</v>
      </c>
      <c r="D308" s="3" t="s">
        <v>19</v>
      </c>
      <c r="E308" s="3" t="s">
        <v>20</v>
      </c>
      <c r="F308" s="3">
        <v>587</v>
      </c>
      <c r="G308" s="3">
        <v>576</v>
      </c>
      <c r="H308" s="3">
        <v>11</v>
      </c>
      <c r="I308" s="5">
        <f t="shared" si="25"/>
        <v>1.8739352640545145E-2</v>
      </c>
      <c r="J308" s="6">
        <f t="shared" si="26"/>
        <v>18739.352640545145</v>
      </c>
      <c r="K308" s="7">
        <v>0.72</v>
      </c>
      <c r="L308" s="3">
        <v>416</v>
      </c>
      <c r="M308" s="3">
        <v>450</v>
      </c>
      <c r="N308" s="3">
        <v>34</v>
      </c>
      <c r="O308" s="5">
        <f t="shared" si="27"/>
        <v>0.9244444444444444</v>
      </c>
      <c r="P308" s="5">
        <f t="shared" si="28"/>
        <v>1.0159615384615384</v>
      </c>
      <c r="Q308" s="5">
        <f t="shared" si="29"/>
        <v>0.98126064735945484</v>
      </c>
      <c r="R308" s="5">
        <f t="shared" si="30"/>
        <v>0.92159999999999975</v>
      </c>
    </row>
    <row r="309" spans="1:18" x14ac:dyDescent="0.25">
      <c r="A309" s="3">
        <v>305</v>
      </c>
      <c r="B309" s="4">
        <v>46255</v>
      </c>
      <c r="C309" s="3" t="s">
        <v>25</v>
      </c>
      <c r="D309" s="3" t="s">
        <v>21</v>
      </c>
      <c r="E309" s="3" t="s">
        <v>26</v>
      </c>
      <c r="F309" s="3">
        <v>262</v>
      </c>
      <c r="G309" s="3">
        <v>252</v>
      </c>
      <c r="H309" s="3">
        <v>10</v>
      </c>
      <c r="I309" s="5">
        <f t="shared" si="25"/>
        <v>3.8167938931297711E-2</v>
      </c>
      <c r="J309" s="6">
        <f t="shared" si="26"/>
        <v>38167.938931297715</v>
      </c>
      <c r="K309" s="7">
        <v>1.62</v>
      </c>
      <c r="L309" s="3">
        <v>414</v>
      </c>
      <c r="M309" s="3">
        <v>450</v>
      </c>
      <c r="N309" s="3">
        <v>36</v>
      </c>
      <c r="O309" s="5">
        <f t="shared" si="27"/>
        <v>0.92</v>
      </c>
      <c r="P309" s="5">
        <f t="shared" si="28"/>
        <v>1.0252173913043479</v>
      </c>
      <c r="Q309" s="5">
        <f t="shared" si="29"/>
        <v>0.96183206106870234</v>
      </c>
      <c r="R309" s="5">
        <f t="shared" si="30"/>
        <v>0.90720000000000012</v>
      </c>
    </row>
    <row r="310" spans="1:18" x14ac:dyDescent="0.25">
      <c r="A310" s="3">
        <v>306</v>
      </c>
      <c r="B310" s="4">
        <v>46255</v>
      </c>
      <c r="C310" s="3" t="s">
        <v>25</v>
      </c>
      <c r="D310" s="3" t="s">
        <v>23</v>
      </c>
      <c r="E310" s="3" t="s">
        <v>35</v>
      </c>
      <c r="F310" s="3">
        <v>530</v>
      </c>
      <c r="G310" s="3">
        <v>520</v>
      </c>
      <c r="H310" s="3">
        <v>10</v>
      </c>
      <c r="I310" s="5">
        <f t="shared" si="25"/>
        <v>1.8867924528301886E-2</v>
      </c>
      <c r="J310" s="6">
        <f t="shared" si="26"/>
        <v>18867.924528301886</v>
      </c>
      <c r="K310" s="7">
        <v>0.59</v>
      </c>
      <c r="L310" s="3">
        <v>397</v>
      </c>
      <c r="M310" s="3">
        <v>450</v>
      </c>
      <c r="N310" s="3">
        <v>53</v>
      </c>
      <c r="O310" s="5">
        <f t="shared" si="27"/>
        <v>0.88222222222222224</v>
      </c>
      <c r="P310" s="5">
        <f t="shared" si="28"/>
        <v>0.78765743073047856</v>
      </c>
      <c r="Q310" s="5">
        <f t="shared" si="29"/>
        <v>0.98113207547169812</v>
      </c>
      <c r="R310" s="5">
        <f t="shared" si="30"/>
        <v>0.68177777777777782</v>
      </c>
    </row>
    <row r="311" spans="1:18" x14ac:dyDescent="0.25">
      <c r="A311" s="3">
        <v>307</v>
      </c>
      <c r="B311" s="4">
        <v>46255</v>
      </c>
      <c r="C311" s="3" t="s">
        <v>28</v>
      </c>
      <c r="D311" s="3" t="s">
        <v>19</v>
      </c>
      <c r="E311" s="3" t="s">
        <v>20</v>
      </c>
      <c r="F311" s="3">
        <v>234</v>
      </c>
      <c r="G311" s="3">
        <v>228</v>
      </c>
      <c r="H311" s="3">
        <v>6</v>
      </c>
      <c r="I311" s="5">
        <f t="shared" si="25"/>
        <v>2.564102564102564E-2</v>
      </c>
      <c r="J311" s="6">
        <f t="shared" si="26"/>
        <v>25641.025641025641</v>
      </c>
      <c r="K311" s="7">
        <v>1.61</v>
      </c>
      <c r="L311" s="3">
        <v>396</v>
      </c>
      <c r="M311" s="3">
        <v>450</v>
      </c>
      <c r="N311" s="3">
        <v>54</v>
      </c>
      <c r="O311" s="5">
        <f t="shared" si="27"/>
        <v>0.88</v>
      </c>
      <c r="P311" s="5">
        <f t="shared" si="28"/>
        <v>0.95136363636363641</v>
      </c>
      <c r="Q311" s="5">
        <f t="shared" si="29"/>
        <v>0.97435897435897434</v>
      </c>
      <c r="R311" s="5">
        <f t="shared" si="30"/>
        <v>0.81573333333333342</v>
      </c>
    </row>
    <row r="312" spans="1:18" x14ac:dyDescent="0.25">
      <c r="A312" s="3">
        <v>308</v>
      </c>
      <c r="B312" s="4">
        <v>46255</v>
      </c>
      <c r="C312" s="3" t="s">
        <v>28</v>
      </c>
      <c r="D312" s="3" t="s">
        <v>21</v>
      </c>
      <c r="E312" s="3" t="s">
        <v>29</v>
      </c>
      <c r="F312" s="3">
        <v>421</v>
      </c>
      <c r="G312" s="3">
        <v>411</v>
      </c>
      <c r="H312" s="3">
        <v>10</v>
      </c>
      <c r="I312" s="5">
        <f t="shared" si="25"/>
        <v>2.3752969121140142E-2</v>
      </c>
      <c r="J312" s="6">
        <f t="shared" si="26"/>
        <v>23752.96912114014</v>
      </c>
      <c r="K312" s="7">
        <v>0.91</v>
      </c>
      <c r="L312" s="3">
        <v>401</v>
      </c>
      <c r="M312" s="3">
        <v>450</v>
      </c>
      <c r="N312" s="3">
        <v>49</v>
      </c>
      <c r="O312" s="5">
        <f t="shared" si="27"/>
        <v>0.89111111111111108</v>
      </c>
      <c r="P312" s="5">
        <f t="shared" si="28"/>
        <v>0.95538653366583548</v>
      </c>
      <c r="Q312" s="5">
        <f t="shared" si="29"/>
        <v>0.97624703087885989</v>
      </c>
      <c r="R312" s="5">
        <f t="shared" si="30"/>
        <v>0.83113333333333339</v>
      </c>
    </row>
    <row r="313" spans="1:18" x14ac:dyDescent="0.25">
      <c r="A313" s="3">
        <v>309</v>
      </c>
      <c r="B313" s="4">
        <v>46255</v>
      </c>
      <c r="C313" s="3" t="s">
        <v>28</v>
      </c>
      <c r="D313" s="3" t="s">
        <v>23</v>
      </c>
      <c r="E313" s="3" t="s">
        <v>27</v>
      </c>
      <c r="F313" s="3">
        <v>202</v>
      </c>
      <c r="G313" s="3">
        <v>200</v>
      </c>
      <c r="H313" s="3">
        <v>2</v>
      </c>
      <c r="I313" s="5">
        <f t="shared" si="25"/>
        <v>9.9009900990099011E-3</v>
      </c>
      <c r="J313" s="6">
        <f t="shared" si="26"/>
        <v>9900.9900990099013</v>
      </c>
      <c r="K313" s="7">
        <v>1.64</v>
      </c>
      <c r="L313" s="3">
        <v>396</v>
      </c>
      <c r="M313" s="3">
        <v>450</v>
      </c>
      <c r="N313" s="3">
        <v>54</v>
      </c>
      <c r="O313" s="5">
        <f t="shared" si="27"/>
        <v>0.88</v>
      </c>
      <c r="P313" s="5">
        <f t="shared" si="28"/>
        <v>0.83656565656565651</v>
      </c>
      <c r="Q313" s="5">
        <f t="shared" si="29"/>
        <v>0.99009900990099009</v>
      </c>
      <c r="R313" s="5">
        <f t="shared" si="30"/>
        <v>0.72888888888888881</v>
      </c>
    </row>
    <row r="314" spans="1:18" x14ac:dyDescent="0.25">
      <c r="A314" s="3">
        <v>310</v>
      </c>
      <c r="B314" s="4">
        <v>46255</v>
      </c>
      <c r="C314" s="3" t="s">
        <v>30</v>
      </c>
      <c r="D314" s="3" t="s">
        <v>19</v>
      </c>
      <c r="E314" s="3" t="s">
        <v>26</v>
      </c>
      <c r="F314" s="3">
        <v>261</v>
      </c>
      <c r="G314" s="3">
        <v>257</v>
      </c>
      <c r="H314" s="3">
        <v>4</v>
      </c>
      <c r="I314" s="5">
        <f t="shared" si="25"/>
        <v>1.532567049808429E-2</v>
      </c>
      <c r="J314" s="6">
        <f t="shared" si="26"/>
        <v>15325.67049808429</v>
      </c>
      <c r="K314" s="7">
        <v>1.28</v>
      </c>
      <c r="L314" s="3">
        <v>397</v>
      </c>
      <c r="M314" s="3">
        <v>450</v>
      </c>
      <c r="N314" s="3">
        <v>53</v>
      </c>
      <c r="O314" s="5">
        <f t="shared" si="27"/>
        <v>0.88222222222222224</v>
      </c>
      <c r="P314" s="5">
        <f t="shared" si="28"/>
        <v>0.84151133501259445</v>
      </c>
      <c r="Q314" s="5">
        <f t="shared" si="29"/>
        <v>0.98467432950191569</v>
      </c>
      <c r="R314" s="5">
        <f t="shared" si="30"/>
        <v>0.73102222222222224</v>
      </c>
    </row>
    <row r="315" spans="1:18" x14ac:dyDescent="0.25">
      <c r="A315" s="3">
        <v>311</v>
      </c>
      <c r="B315" s="4">
        <v>46255</v>
      </c>
      <c r="C315" s="3" t="s">
        <v>30</v>
      </c>
      <c r="D315" s="3" t="s">
        <v>21</v>
      </c>
      <c r="E315" s="3" t="s">
        <v>26</v>
      </c>
      <c r="F315" s="3">
        <v>698</v>
      </c>
      <c r="G315" s="3">
        <v>689</v>
      </c>
      <c r="H315" s="3">
        <v>9</v>
      </c>
      <c r="I315" s="5">
        <f t="shared" si="25"/>
        <v>1.2893982808022923E-2</v>
      </c>
      <c r="J315" s="6">
        <f t="shared" si="26"/>
        <v>12893.982808022924</v>
      </c>
      <c r="K315" s="7">
        <v>0.55000000000000004</v>
      </c>
      <c r="L315" s="3">
        <v>386</v>
      </c>
      <c r="M315" s="3">
        <v>450</v>
      </c>
      <c r="N315" s="3">
        <v>64</v>
      </c>
      <c r="O315" s="5">
        <f t="shared" si="27"/>
        <v>0.85777777777777775</v>
      </c>
      <c r="P315" s="5">
        <f t="shared" si="28"/>
        <v>0.99455958549222812</v>
      </c>
      <c r="Q315" s="5">
        <f t="shared" si="29"/>
        <v>0.9871060171919771</v>
      </c>
      <c r="R315" s="5">
        <f t="shared" si="30"/>
        <v>0.84211111111111114</v>
      </c>
    </row>
    <row r="316" spans="1:18" x14ac:dyDescent="0.25">
      <c r="A316" s="3">
        <v>312</v>
      </c>
      <c r="B316" s="4">
        <v>46255</v>
      </c>
      <c r="C316" s="3" t="s">
        <v>30</v>
      </c>
      <c r="D316" s="3" t="s">
        <v>23</v>
      </c>
      <c r="E316" s="3" t="s">
        <v>34</v>
      </c>
      <c r="F316" s="3">
        <v>299</v>
      </c>
      <c r="G316" s="3">
        <v>291</v>
      </c>
      <c r="H316" s="3">
        <v>8</v>
      </c>
      <c r="I316" s="5">
        <f t="shared" si="25"/>
        <v>2.6755852842809364E-2</v>
      </c>
      <c r="J316" s="6">
        <f t="shared" si="26"/>
        <v>26755.852842809363</v>
      </c>
      <c r="K316" s="7">
        <v>1.08</v>
      </c>
      <c r="L316" s="3">
        <v>413</v>
      </c>
      <c r="M316" s="3">
        <v>450</v>
      </c>
      <c r="N316" s="3">
        <v>37</v>
      </c>
      <c r="O316" s="5">
        <f t="shared" si="27"/>
        <v>0.9177777777777778</v>
      </c>
      <c r="P316" s="5">
        <f t="shared" si="28"/>
        <v>0.78188861985472158</v>
      </c>
      <c r="Q316" s="5">
        <f t="shared" si="29"/>
        <v>0.97324414715719065</v>
      </c>
      <c r="R316" s="5">
        <f t="shared" si="30"/>
        <v>0.69840000000000002</v>
      </c>
    </row>
    <row r="317" spans="1:18" x14ac:dyDescent="0.25">
      <c r="A317" s="3">
        <v>313</v>
      </c>
      <c r="B317" s="4">
        <v>46255</v>
      </c>
      <c r="C317" s="3" t="s">
        <v>33</v>
      </c>
      <c r="D317" s="3" t="s">
        <v>19</v>
      </c>
      <c r="E317" s="3" t="s">
        <v>24</v>
      </c>
      <c r="F317" s="3">
        <v>346</v>
      </c>
      <c r="G317" s="3">
        <v>340</v>
      </c>
      <c r="H317" s="3">
        <v>6</v>
      </c>
      <c r="I317" s="5">
        <f t="shared" si="25"/>
        <v>1.7341040462427744E-2</v>
      </c>
      <c r="J317" s="6">
        <f t="shared" si="26"/>
        <v>17341.040462427743</v>
      </c>
      <c r="K317" s="7">
        <v>1.0900000000000001</v>
      </c>
      <c r="L317" s="3">
        <v>385</v>
      </c>
      <c r="M317" s="3">
        <v>450</v>
      </c>
      <c r="N317" s="3">
        <v>65</v>
      </c>
      <c r="O317" s="5">
        <f t="shared" si="27"/>
        <v>0.85555555555555551</v>
      </c>
      <c r="P317" s="5">
        <f t="shared" si="28"/>
        <v>0.97958441558441567</v>
      </c>
      <c r="Q317" s="5">
        <f t="shared" si="29"/>
        <v>0.98265895953757221</v>
      </c>
      <c r="R317" s="5">
        <f t="shared" si="30"/>
        <v>0.82355555555555549</v>
      </c>
    </row>
    <row r="318" spans="1:18" x14ac:dyDescent="0.25">
      <c r="A318" s="3">
        <v>314</v>
      </c>
      <c r="B318" s="4">
        <v>46255</v>
      </c>
      <c r="C318" s="3" t="s">
        <v>33</v>
      </c>
      <c r="D318" s="3" t="s">
        <v>21</v>
      </c>
      <c r="E318" s="3" t="s">
        <v>31</v>
      </c>
      <c r="F318" s="3">
        <v>430</v>
      </c>
      <c r="G318" s="3">
        <v>415</v>
      </c>
      <c r="H318" s="3">
        <v>15</v>
      </c>
      <c r="I318" s="5">
        <f t="shared" si="25"/>
        <v>3.4883720930232558E-2</v>
      </c>
      <c r="J318" s="6">
        <f t="shared" si="26"/>
        <v>34883.720930232557</v>
      </c>
      <c r="K318" s="7">
        <v>0.94</v>
      </c>
      <c r="L318" s="3">
        <v>419</v>
      </c>
      <c r="M318" s="3">
        <v>450</v>
      </c>
      <c r="N318" s="3">
        <v>31</v>
      </c>
      <c r="O318" s="5">
        <f t="shared" si="27"/>
        <v>0.93111111111111111</v>
      </c>
      <c r="P318" s="5">
        <f t="shared" si="28"/>
        <v>0.96467780429594274</v>
      </c>
      <c r="Q318" s="5">
        <f t="shared" si="29"/>
        <v>0.96511627906976749</v>
      </c>
      <c r="R318" s="5">
        <f t="shared" si="30"/>
        <v>0.86688888888888893</v>
      </c>
    </row>
    <row r="319" spans="1:18" x14ac:dyDescent="0.25">
      <c r="A319" s="3">
        <v>315</v>
      </c>
      <c r="B319" s="4">
        <v>46255</v>
      </c>
      <c r="C319" s="3" t="s">
        <v>33</v>
      </c>
      <c r="D319" s="3" t="s">
        <v>23</v>
      </c>
      <c r="E319" s="3" t="s">
        <v>29</v>
      </c>
      <c r="F319" s="3">
        <v>694</v>
      </c>
      <c r="G319" s="3">
        <v>666</v>
      </c>
      <c r="H319" s="3">
        <v>28</v>
      </c>
      <c r="I319" s="5">
        <f t="shared" si="25"/>
        <v>4.0345821325648415E-2</v>
      </c>
      <c r="J319" s="6">
        <f t="shared" si="26"/>
        <v>40345.821325648416</v>
      </c>
      <c r="K319" s="7">
        <v>0.55000000000000004</v>
      </c>
      <c r="L319" s="3">
        <v>435</v>
      </c>
      <c r="M319" s="3">
        <v>450</v>
      </c>
      <c r="N319" s="3">
        <v>15</v>
      </c>
      <c r="O319" s="5">
        <f t="shared" si="27"/>
        <v>0.96666666666666667</v>
      </c>
      <c r="P319" s="5">
        <f t="shared" si="28"/>
        <v>0.87747126436781619</v>
      </c>
      <c r="Q319" s="5">
        <f t="shared" si="29"/>
        <v>0.95965417867435154</v>
      </c>
      <c r="R319" s="5">
        <f t="shared" si="30"/>
        <v>0.81400000000000006</v>
      </c>
    </row>
    <row r="320" spans="1:18" x14ac:dyDescent="0.25">
      <c r="A320" s="3">
        <v>316</v>
      </c>
      <c r="B320" s="4">
        <v>46256</v>
      </c>
      <c r="C320" s="3" t="s">
        <v>18</v>
      </c>
      <c r="D320" s="3" t="s">
        <v>19</v>
      </c>
      <c r="E320" s="3" t="s">
        <v>31</v>
      </c>
      <c r="F320" s="3">
        <v>1055</v>
      </c>
      <c r="G320" s="3">
        <v>1037</v>
      </c>
      <c r="H320" s="3">
        <v>18</v>
      </c>
      <c r="I320" s="5">
        <f t="shared" si="25"/>
        <v>1.7061611374407582E-2</v>
      </c>
      <c r="J320" s="6">
        <f t="shared" si="26"/>
        <v>17061.611374407581</v>
      </c>
      <c r="K320" s="7">
        <v>0.35</v>
      </c>
      <c r="L320" s="3">
        <v>402</v>
      </c>
      <c r="M320" s="3">
        <v>450</v>
      </c>
      <c r="N320" s="3">
        <v>48</v>
      </c>
      <c r="O320" s="5">
        <f t="shared" si="27"/>
        <v>0.89333333333333331</v>
      </c>
      <c r="P320" s="5">
        <f t="shared" si="28"/>
        <v>0.91853233830845771</v>
      </c>
      <c r="Q320" s="5">
        <f t="shared" si="29"/>
        <v>0.98293838862559246</v>
      </c>
      <c r="R320" s="5">
        <f t="shared" si="30"/>
        <v>0.80655555555555547</v>
      </c>
    </row>
    <row r="321" spans="1:18" x14ac:dyDescent="0.25">
      <c r="A321" s="3">
        <v>317</v>
      </c>
      <c r="B321" s="4">
        <v>46256</v>
      </c>
      <c r="C321" s="3" t="s">
        <v>18</v>
      </c>
      <c r="D321" s="3" t="s">
        <v>21</v>
      </c>
      <c r="E321" s="3" t="s">
        <v>24</v>
      </c>
      <c r="F321" s="3">
        <v>516</v>
      </c>
      <c r="G321" s="3">
        <v>511</v>
      </c>
      <c r="H321" s="3">
        <v>5</v>
      </c>
      <c r="I321" s="5">
        <f t="shared" si="25"/>
        <v>9.6899224806201549E-3</v>
      </c>
      <c r="J321" s="6">
        <f t="shared" si="26"/>
        <v>9689.9224806201546</v>
      </c>
      <c r="K321" s="7">
        <v>0.74</v>
      </c>
      <c r="L321" s="3">
        <v>427</v>
      </c>
      <c r="M321" s="3">
        <v>450</v>
      </c>
      <c r="N321" s="3">
        <v>23</v>
      </c>
      <c r="O321" s="5">
        <f t="shared" si="27"/>
        <v>0.94888888888888889</v>
      </c>
      <c r="P321" s="5">
        <f t="shared" si="28"/>
        <v>0.89423887587822004</v>
      </c>
      <c r="Q321" s="5">
        <f t="shared" si="29"/>
        <v>0.99031007751937983</v>
      </c>
      <c r="R321" s="5">
        <f t="shared" si="30"/>
        <v>0.84031111111111101</v>
      </c>
    </row>
    <row r="322" spans="1:18" x14ac:dyDescent="0.25">
      <c r="A322" s="3">
        <v>318</v>
      </c>
      <c r="B322" s="4">
        <v>46256</v>
      </c>
      <c r="C322" s="3" t="s">
        <v>18</v>
      </c>
      <c r="D322" s="3" t="s">
        <v>23</v>
      </c>
      <c r="E322" s="3" t="s">
        <v>20</v>
      </c>
      <c r="F322" s="3">
        <v>354</v>
      </c>
      <c r="G322" s="3">
        <v>352</v>
      </c>
      <c r="H322" s="3">
        <v>2</v>
      </c>
      <c r="I322" s="5">
        <f t="shared" si="25"/>
        <v>5.6497175141242938E-3</v>
      </c>
      <c r="J322" s="6">
        <f t="shared" si="26"/>
        <v>5649.7175141242942</v>
      </c>
      <c r="K322" s="7">
        <v>1.1200000000000001</v>
      </c>
      <c r="L322" s="3">
        <v>430</v>
      </c>
      <c r="M322" s="3">
        <v>450</v>
      </c>
      <c r="N322" s="3">
        <v>20</v>
      </c>
      <c r="O322" s="5">
        <f t="shared" si="27"/>
        <v>0.9555555555555556</v>
      </c>
      <c r="P322" s="5">
        <f t="shared" si="28"/>
        <v>0.92204651162790707</v>
      </c>
      <c r="Q322" s="5">
        <f t="shared" si="29"/>
        <v>0.99435028248587576</v>
      </c>
      <c r="R322" s="5">
        <f t="shared" si="30"/>
        <v>0.87608888888888903</v>
      </c>
    </row>
    <row r="323" spans="1:18" x14ac:dyDescent="0.25">
      <c r="A323" s="3">
        <v>319</v>
      </c>
      <c r="B323" s="4">
        <v>46256</v>
      </c>
      <c r="C323" s="3" t="s">
        <v>25</v>
      </c>
      <c r="D323" s="3" t="s">
        <v>19</v>
      </c>
      <c r="E323" s="3" t="s">
        <v>26</v>
      </c>
      <c r="F323" s="3">
        <v>210</v>
      </c>
      <c r="G323" s="3">
        <v>203</v>
      </c>
      <c r="H323" s="3">
        <v>7</v>
      </c>
      <c r="I323" s="5">
        <f t="shared" si="25"/>
        <v>3.3333333333333333E-2</v>
      </c>
      <c r="J323" s="6">
        <f t="shared" si="26"/>
        <v>33333.333333333336</v>
      </c>
      <c r="K323" s="7">
        <v>1.57</v>
      </c>
      <c r="L323" s="3">
        <v>402</v>
      </c>
      <c r="M323" s="3">
        <v>450</v>
      </c>
      <c r="N323" s="3">
        <v>48</v>
      </c>
      <c r="O323" s="5">
        <f t="shared" si="27"/>
        <v>0.89333333333333331</v>
      </c>
      <c r="P323" s="5">
        <f t="shared" si="28"/>
        <v>0.82014925373134329</v>
      </c>
      <c r="Q323" s="5">
        <f t="shared" si="29"/>
        <v>0.96666666666666667</v>
      </c>
      <c r="R323" s="5">
        <f t="shared" si="30"/>
        <v>0.70824444444444445</v>
      </c>
    </row>
    <row r="324" spans="1:18" x14ac:dyDescent="0.25">
      <c r="A324" s="3">
        <v>320</v>
      </c>
      <c r="B324" s="4">
        <v>46256</v>
      </c>
      <c r="C324" s="3" t="s">
        <v>25</v>
      </c>
      <c r="D324" s="3" t="s">
        <v>21</v>
      </c>
      <c r="E324" s="3" t="s">
        <v>24</v>
      </c>
      <c r="F324" s="3">
        <v>398</v>
      </c>
      <c r="G324" s="3">
        <v>394</v>
      </c>
      <c r="H324" s="3">
        <v>4</v>
      </c>
      <c r="I324" s="5">
        <f t="shared" si="25"/>
        <v>1.0050251256281407E-2</v>
      </c>
      <c r="J324" s="6">
        <f t="shared" si="26"/>
        <v>10050.251256281406</v>
      </c>
      <c r="K324" s="7">
        <v>0.87</v>
      </c>
      <c r="L324" s="3">
        <v>417</v>
      </c>
      <c r="M324" s="3">
        <v>450</v>
      </c>
      <c r="N324" s="3">
        <v>33</v>
      </c>
      <c r="O324" s="5">
        <f t="shared" si="27"/>
        <v>0.92666666666666664</v>
      </c>
      <c r="P324" s="5">
        <f t="shared" si="28"/>
        <v>0.83035971223021576</v>
      </c>
      <c r="Q324" s="5">
        <f t="shared" si="29"/>
        <v>0.98994974874371855</v>
      </c>
      <c r="R324" s="5">
        <f t="shared" si="30"/>
        <v>0.76173333333333326</v>
      </c>
    </row>
    <row r="325" spans="1:18" x14ac:dyDescent="0.25">
      <c r="A325" s="3">
        <v>321</v>
      </c>
      <c r="B325" s="4">
        <v>46256</v>
      </c>
      <c r="C325" s="3" t="s">
        <v>25</v>
      </c>
      <c r="D325" s="3" t="s">
        <v>23</v>
      </c>
      <c r="E325" s="3" t="s">
        <v>26</v>
      </c>
      <c r="F325" s="3">
        <v>293</v>
      </c>
      <c r="G325" s="3">
        <v>289</v>
      </c>
      <c r="H325" s="3">
        <v>4</v>
      </c>
      <c r="I325" s="5">
        <f t="shared" ref="I325:I388" si="31">IFERROR(H325/F325,0)</f>
        <v>1.3651877133105802E-2</v>
      </c>
      <c r="J325" s="6">
        <f t="shared" ref="J325:J388" si="32">I325*1000000</f>
        <v>13651.877133105801</v>
      </c>
      <c r="K325" s="7">
        <v>1.07</v>
      </c>
      <c r="L325" s="3">
        <v>398</v>
      </c>
      <c r="M325" s="3">
        <v>450</v>
      </c>
      <c r="N325" s="3">
        <v>52</v>
      </c>
      <c r="O325" s="5">
        <f t="shared" ref="O325:O388" si="33">IFERROR(L325/M325,0)</f>
        <v>0.88444444444444448</v>
      </c>
      <c r="P325" s="5">
        <f t="shared" ref="P325:P388" si="34">IFERROR(F325*K325/L325,0)</f>
        <v>0.78771356783919599</v>
      </c>
      <c r="Q325" s="5">
        <f t="shared" ref="Q325:Q388" si="35">IFERROR(G325/F325,0)</f>
        <v>0.98634812286689422</v>
      </c>
      <c r="R325" s="5">
        <f t="shared" ref="R325:R388" si="36">O325*P325*Q325</f>
        <v>0.68717777777777778</v>
      </c>
    </row>
    <row r="326" spans="1:18" x14ac:dyDescent="0.25">
      <c r="A326" s="3">
        <v>322</v>
      </c>
      <c r="B326" s="4">
        <v>46256</v>
      </c>
      <c r="C326" s="3" t="s">
        <v>28</v>
      </c>
      <c r="D326" s="3" t="s">
        <v>19</v>
      </c>
      <c r="E326" s="3" t="s">
        <v>35</v>
      </c>
      <c r="F326" s="3">
        <v>236</v>
      </c>
      <c r="G326" s="3">
        <v>227</v>
      </c>
      <c r="H326" s="3">
        <v>9</v>
      </c>
      <c r="I326" s="5">
        <f t="shared" si="31"/>
        <v>3.8135593220338986E-2</v>
      </c>
      <c r="J326" s="6">
        <f t="shared" si="32"/>
        <v>38135.593220338982</v>
      </c>
      <c r="K326" s="7">
        <v>1.4</v>
      </c>
      <c r="L326" s="3">
        <v>413</v>
      </c>
      <c r="M326" s="3">
        <v>450</v>
      </c>
      <c r="N326" s="3">
        <v>37</v>
      </c>
      <c r="O326" s="5">
        <f t="shared" si="33"/>
        <v>0.9177777777777778</v>
      </c>
      <c r="P326" s="5">
        <f t="shared" si="34"/>
        <v>0.79999999999999993</v>
      </c>
      <c r="Q326" s="5">
        <f t="shared" si="35"/>
        <v>0.96186440677966101</v>
      </c>
      <c r="R326" s="5">
        <f t="shared" si="36"/>
        <v>0.7062222222222222</v>
      </c>
    </row>
    <row r="327" spans="1:18" x14ac:dyDescent="0.25">
      <c r="A327" s="3">
        <v>323</v>
      </c>
      <c r="B327" s="4">
        <v>46256</v>
      </c>
      <c r="C327" s="3" t="s">
        <v>28</v>
      </c>
      <c r="D327" s="3" t="s">
        <v>21</v>
      </c>
      <c r="E327" s="3" t="s">
        <v>27</v>
      </c>
      <c r="F327" s="3">
        <v>260</v>
      </c>
      <c r="G327" s="3">
        <v>252</v>
      </c>
      <c r="H327" s="3">
        <v>8</v>
      </c>
      <c r="I327" s="5">
        <f t="shared" si="31"/>
        <v>3.0769230769230771E-2</v>
      </c>
      <c r="J327" s="6">
        <f t="shared" si="32"/>
        <v>30769.23076923077</v>
      </c>
      <c r="K327" s="7">
        <v>1.51</v>
      </c>
      <c r="L327" s="3">
        <v>394</v>
      </c>
      <c r="M327" s="3">
        <v>450</v>
      </c>
      <c r="N327" s="3">
        <v>56</v>
      </c>
      <c r="O327" s="5">
        <f t="shared" si="33"/>
        <v>0.87555555555555553</v>
      </c>
      <c r="P327" s="5">
        <f t="shared" si="34"/>
        <v>0.9964467005076143</v>
      </c>
      <c r="Q327" s="5">
        <f t="shared" si="35"/>
        <v>0.96923076923076923</v>
      </c>
      <c r="R327" s="5">
        <f t="shared" si="36"/>
        <v>0.84560000000000002</v>
      </c>
    </row>
    <row r="328" spans="1:18" x14ac:dyDescent="0.25">
      <c r="A328" s="3">
        <v>324</v>
      </c>
      <c r="B328" s="4">
        <v>46256</v>
      </c>
      <c r="C328" s="3" t="s">
        <v>28</v>
      </c>
      <c r="D328" s="3" t="s">
        <v>23</v>
      </c>
      <c r="E328" s="3" t="s">
        <v>24</v>
      </c>
      <c r="F328" s="3">
        <v>291</v>
      </c>
      <c r="G328" s="3">
        <v>279</v>
      </c>
      <c r="H328" s="3">
        <v>12</v>
      </c>
      <c r="I328" s="5">
        <f t="shared" si="31"/>
        <v>4.1237113402061855E-2</v>
      </c>
      <c r="J328" s="6">
        <f t="shared" si="32"/>
        <v>41237.113402061856</v>
      </c>
      <c r="K328" s="7">
        <v>1.33</v>
      </c>
      <c r="L328" s="3">
        <v>411</v>
      </c>
      <c r="M328" s="3">
        <v>450</v>
      </c>
      <c r="N328" s="3">
        <v>39</v>
      </c>
      <c r="O328" s="5">
        <f t="shared" si="33"/>
        <v>0.91333333333333333</v>
      </c>
      <c r="P328" s="5">
        <f t="shared" si="34"/>
        <v>0.94167883211678838</v>
      </c>
      <c r="Q328" s="5">
        <f t="shared" si="35"/>
        <v>0.95876288659793818</v>
      </c>
      <c r="R328" s="5">
        <f t="shared" si="36"/>
        <v>0.82460000000000011</v>
      </c>
    </row>
    <row r="329" spans="1:18" x14ac:dyDescent="0.25">
      <c r="A329" s="3">
        <v>325</v>
      </c>
      <c r="B329" s="4">
        <v>46256</v>
      </c>
      <c r="C329" s="3" t="s">
        <v>30</v>
      </c>
      <c r="D329" s="3" t="s">
        <v>19</v>
      </c>
      <c r="E329" s="3" t="s">
        <v>22</v>
      </c>
      <c r="F329" s="3">
        <v>709</v>
      </c>
      <c r="G329" s="3">
        <v>705</v>
      </c>
      <c r="H329" s="3">
        <v>4</v>
      </c>
      <c r="I329" s="5">
        <f t="shared" si="31"/>
        <v>5.6417489421720732E-3</v>
      </c>
      <c r="J329" s="6">
        <f t="shared" si="32"/>
        <v>5641.7489421720729</v>
      </c>
      <c r="K329" s="7">
        <v>0.5</v>
      </c>
      <c r="L329" s="3">
        <v>413</v>
      </c>
      <c r="M329" s="3">
        <v>450</v>
      </c>
      <c r="N329" s="3">
        <v>37</v>
      </c>
      <c r="O329" s="5">
        <f t="shared" si="33"/>
        <v>0.9177777777777778</v>
      </c>
      <c r="P329" s="5">
        <f t="shared" si="34"/>
        <v>0.85835351089588374</v>
      </c>
      <c r="Q329" s="5">
        <f t="shared" si="35"/>
        <v>0.99435825105782794</v>
      </c>
      <c r="R329" s="5">
        <f t="shared" si="36"/>
        <v>0.78333333333333333</v>
      </c>
    </row>
    <row r="330" spans="1:18" x14ac:dyDescent="0.25">
      <c r="A330" s="3">
        <v>326</v>
      </c>
      <c r="B330" s="4">
        <v>46256</v>
      </c>
      <c r="C330" s="3" t="s">
        <v>30</v>
      </c>
      <c r="D330" s="3" t="s">
        <v>21</v>
      </c>
      <c r="E330" s="3" t="s">
        <v>29</v>
      </c>
      <c r="F330" s="3">
        <v>228</v>
      </c>
      <c r="G330" s="3">
        <v>219</v>
      </c>
      <c r="H330" s="3">
        <v>9</v>
      </c>
      <c r="I330" s="5">
        <f t="shared" si="31"/>
        <v>3.9473684210526314E-2</v>
      </c>
      <c r="J330" s="6">
        <f t="shared" si="32"/>
        <v>39473.684210526313</v>
      </c>
      <c r="K330" s="7">
        <v>1.72</v>
      </c>
      <c r="L330" s="3">
        <v>415</v>
      </c>
      <c r="M330" s="3">
        <v>450</v>
      </c>
      <c r="N330" s="3">
        <v>35</v>
      </c>
      <c r="O330" s="5">
        <f t="shared" si="33"/>
        <v>0.92222222222222228</v>
      </c>
      <c r="P330" s="5">
        <f t="shared" si="34"/>
        <v>0.9449638554216867</v>
      </c>
      <c r="Q330" s="5">
        <f t="shared" si="35"/>
        <v>0.96052631578947367</v>
      </c>
      <c r="R330" s="5">
        <f t="shared" si="36"/>
        <v>0.83706666666666674</v>
      </c>
    </row>
    <row r="331" spans="1:18" x14ac:dyDescent="0.25">
      <c r="A331" s="3">
        <v>327</v>
      </c>
      <c r="B331" s="4">
        <v>46256</v>
      </c>
      <c r="C331" s="3" t="s">
        <v>30</v>
      </c>
      <c r="D331" s="3" t="s">
        <v>23</v>
      </c>
      <c r="E331" s="3" t="s">
        <v>27</v>
      </c>
      <c r="F331" s="3">
        <v>191</v>
      </c>
      <c r="G331" s="3">
        <v>184</v>
      </c>
      <c r="H331" s="3">
        <v>7</v>
      </c>
      <c r="I331" s="5">
        <f t="shared" si="31"/>
        <v>3.6649214659685861E-2</v>
      </c>
      <c r="J331" s="6">
        <f t="shared" si="32"/>
        <v>36649.214659685858</v>
      </c>
      <c r="K331" s="7">
        <v>1.79</v>
      </c>
      <c r="L331" s="3">
        <v>418</v>
      </c>
      <c r="M331" s="3">
        <v>450</v>
      </c>
      <c r="N331" s="3">
        <v>32</v>
      </c>
      <c r="O331" s="5">
        <f t="shared" si="33"/>
        <v>0.92888888888888888</v>
      </c>
      <c r="P331" s="5">
        <f t="shared" si="34"/>
        <v>0.81791866028708127</v>
      </c>
      <c r="Q331" s="5">
        <f t="shared" si="35"/>
        <v>0.96335078534031415</v>
      </c>
      <c r="R331" s="5">
        <f t="shared" si="36"/>
        <v>0.73191111111111107</v>
      </c>
    </row>
    <row r="332" spans="1:18" x14ac:dyDescent="0.25">
      <c r="A332" s="3">
        <v>328</v>
      </c>
      <c r="B332" s="4">
        <v>46256</v>
      </c>
      <c r="C332" s="3" t="s">
        <v>33</v>
      </c>
      <c r="D332" s="3" t="s">
        <v>19</v>
      </c>
      <c r="E332" s="3" t="s">
        <v>24</v>
      </c>
      <c r="F332" s="3">
        <v>257</v>
      </c>
      <c r="G332" s="3">
        <v>252</v>
      </c>
      <c r="H332" s="3">
        <v>5</v>
      </c>
      <c r="I332" s="5">
        <f t="shared" si="31"/>
        <v>1.9455252918287938E-2</v>
      </c>
      <c r="J332" s="6">
        <f t="shared" si="32"/>
        <v>19455.252918287937</v>
      </c>
      <c r="K332" s="7">
        <v>1.64</v>
      </c>
      <c r="L332" s="3">
        <v>436</v>
      </c>
      <c r="M332" s="3">
        <v>450</v>
      </c>
      <c r="N332" s="3">
        <v>14</v>
      </c>
      <c r="O332" s="5">
        <f t="shared" si="33"/>
        <v>0.96888888888888891</v>
      </c>
      <c r="P332" s="5">
        <f t="shared" si="34"/>
        <v>0.96669724770642196</v>
      </c>
      <c r="Q332" s="5">
        <f t="shared" si="35"/>
        <v>0.98054474708171202</v>
      </c>
      <c r="R332" s="5">
        <f t="shared" si="36"/>
        <v>0.91839999999999988</v>
      </c>
    </row>
    <row r="333" spans="1:18" x14ac:dyDescent="0.25">
      <c r="A333" s="3">
        <v>329</v>
      </c>
      <c r="B333" s="4">
        <v>46256</v>
      </c>
      <c r="C333" s="3" t="s">
        <v>33</v>
      </c>
      <c r="D333" s="3" t="s">
        <v>21</v>
      </c>
      <c r="E333" s="3" t="s">
        <v>22</v>
      </c>
      <c r="F333" s="3">
        <v>311</v>
      </c>
      <c r="G333" s="3">
        <v>307</v>
      </c>
      <c r="H333" s="3">
        <v>4</v>
      </c>
      <c r="I333" s="5">
        <f t="shared" si="31"/>
        <v>1.2861736334405145E-2</v>
      </c>
      <c r="J333" s="6">
        <f t="shared" si="32"/>
        <v>12861.736334405145</v>
      </c>
      <c r="K333" s="7">
        <v>1.29</v>
      </c>
      <c r="L333" s="3">
        <v>443</v>
      </c>
      <c r="M333" s="3">
        <v>450</v>
      </c>
      <c r="N333" s="3">
        <v>7</v>
      </c>
      <c r="O333" s="5">
        <f t="shared" si="33"/>
        <v>0.98444444444444446</v>
      </c>
      <c r="P333" s="5">
        <f t="shared" si="34"/>
        <v>0.9056207674943566</v>
      </c>
      <c r="Q333" s="5">
        <f t="shared" si="35"/>
        <v>0.98713826366559487</v>
      </c>
      <c r="R333" s="5">
        <f t="shared" si="36"/>
        <v>0.88006666666666666</v>
      </c>
    </row>
    <row r="334" spans="1:18" x14ac:dyDescent="0.25">
      <c r="A334" s="3">
        <v>330</v>
      </c>
      <c r="B334" s="4">
        <v>46256</v>
      </c>
      <c r="C334" s="3" t="s">
        <v>33</v>
      </c>
      <c r="D334" s="3" t="s">
        <v>23</v>
      </c>
      <c r="E334" s="3" t="s">
        <v>22</v>
      </c>
      <c r="F334" s="3">
        <v>609</v>
      </c>
      <c r="G334" s="3">
        <v>591</v>
      </c>
      <c r="H334" s="3">
        <v>18</v>
      </c>
      <c r="I334" s="5">
        <f t="shared" si="31"/>
        <v>2.9556650246305417E-2</v>
      </c>
      <c r="J334" s="6">
        <f t="shared" si="32"/>
        <v>29556.650246305417</v>
      </c>
      <c r="K334" s="7">
        <v>0.55000000000000004</v>
      </c>
      <c r="L334" s="3">
        <v>416</v>
      </c>
      <c r="M334" s="3">
        <v>450</v>
      </c>
      <c r="N334" s="3">
        <v>34</v>
      </c>
      <c r="O334" s="5">
        <f t="shared" si="33"/>
        <v>0.9244444444444444</v>
      </c>
      <c r="P334" s="5">
        <f t="shared" si="34"/>
        <v>0.80516826923076934</v>
      </c>
      <c r="Q334" s="5">
        <f t="shared" si="35"/>
        <v>0.97044334975369462</v>
      </c>
      <c r="R334" s="5">
        <f t="shared" si="36"/>
        <v>0.72233333333333338</v>
      </c>
    </row>
    <row r="335" spans="1:18" x14ac:dyDescent="0.25">
      <c r="A335" s="3">
        <v>331</v>
      </c>
      <c r="B335" s="4">
        <v>46257</v>
      </c>
      <c r="C335" s="3" t="s">
        <v>18</v>
      </c>
      <c r="D335" s="3" t="s">
        <v>19</v>
      </c>
      <c r="E335" s="3" t="s">
        <v>29</v>
      </c>
      <c r="F335" s="3">
        <v>424</v>
      </c>
      <c r="G335" s="3">
        <v>410</v>
      </c>
      <c r="H335" s="3">
        <v>14</v>
      </c>
      <c r="I335" s="5">
        <f t="shared" si="31"/>
        <v>3.3018867924528301E-2</v>
      </c>
      <c r="J335" s="6">
        <f t="shared" si="32"/>
        <v>33018.867924528298</v>
      </c>
      <c r="K335" s="7">
        <v>0.86</v>
      </c>
      <c r="L335" s="3">
        <v>438</v>
      </c>
      <c r="M335" s="3">
        <v>450</v>
      </c>
      <c r="N335" s="3">
        <v>12</v>
      </c>
      <c r="O335" s="5">
        <f t="shared" si="33"/>
        <v>0.97333333333333338</v>
      </c>
      <c r="P335" s="5">
        <f t="shared" si="34"/>
        <v>0.8325114155251141</v>
      </c>
      <c r="Q335" s="5">
        <f t="shared" si="35"/>
        <v>0.96698113207547165</v>
      </c>
      <c r="R335" s="5">
        <f t="shared" si="36"/>
        <v>0.78355555555555545</v>
      </c>
    </row>
    <row r="336" spans="1:18" x14ac:dyDescent="0.25">
      <c r="A336" s="3">
        <v>332</v>
      </c>
      <c r="B336" s="4">
        <v>46257</v>
      </c>
      <c r="C336" s="3" t="s">
        <v>18</v>
      </c>
      <c r="D336" s="3" t="s">
        <v>21</v>
      </c>
      <c r="E336" s="3" t="s">
        <v>24</v>
      </c>
      <c r="F336" s="3">
        <v>301</v>
      </c>
      <c r="G336" s="3">
        <v>295</v>
      </c>
      <c r="H336" s="3">
        <v>6</v>
      </c>
      <c r="I336" s="5">
        <f t="shared" si="31"/>
        <v>1.9933554817275746E-2</v>
      </c>
      <c r="J336" s="6">
        <f t="shared" si="32"/>
        <v>19933.554817275744</v>
      </c>
      <c r="K336" s="7">
        <v>1.35</v>
      </c>
      <c r="L336" s="3">
        <v>402</v>
      </c>
      <c r="M336" s="3">
        <v>450</v>
      </c>
      <c r="N336" s="3">
        <v>48</v>
      </c>
      <c r="O336" s="5">
        <f t="shared" si="33"/>
        <v>0.89333333333333331</v>
      </c>
      <c r="P336" s="5">
        <f t="shared" si="34"/>
        <v>1.0108208955223881</v>
      </c>
      <c r="Q336" s="5">
        <f t="shared" si="35"/>
        <v>0.98006644518272423</v>
      </c>
      <c r="R336" s="5">
        <f t="shared" si="36"/>
        <v>0.88500000000000001</v>
      </c>
    </row>
    <row r="337" spans="1:18" x14ac:dyDescent="0.25">
      <c r="A337" s="3">
        <v>333</v>
      </c>
      <c r="B337" s="4">
        <v>46257</v>
      </c>
      <c r="C337" s="3" t="s">
        <v>18</v>
      </c>
      <c r="D337" s="3" t="s">
        <v>23</v>
      </c>
      <c r="E337" s="3" t="s">
        <v>27</v>
      </c>
      <c r="F337" s="3">
        <v>211</v>
      </c>
      <c r="G337" s="3">
        <v>204</v>
      </c>
      <c r="H337" s="3">
        <v>7</v>
      </c>
      <c r="I337" s="5">
        <f t="shared" si="31"/>
        <v>3.3175355450236969E-2</v>
      </c>
      <c r="J337" s="6">
        <f t="shared" si="32"/>
        <v>33175.355450236966</v>
      </c>
      <c r="K337" s="7">
        <v>1.56</v>
      </c>
      <c r="L337" s="3">
        <v>413</v>
      </c>
      <c r="M337" s="3">
        <v>450</v>
      </c>
      <c r="N337" s="3">
        <v>37</v>
      </c>
      <c r="O337" s="5">
        <f t="shared" si="33"/>
        <v>0.9177777777777778</v>
      </c>
      <c r="P337" s="5">
        <f t="shared" si="34"/>
        <v>0.79699757869249399</v>
      </c>
      <c r="Q337" s="5">
        <f t="shared" si="35"/>
        <v>0.96682464454976302</v>
      </c>
      <c r="R337" s="5">
        <f t="shared" si="36"/>
        <v>0.70720000000000005</v>
      </c>
    </row>
    <row r="338" spans="1:18" x14ac:dyDescent="0.25">
      <c r="A338" s="3">
        <v>334</v>
      </c>
      <c r="B338" s="4">
        <v>46257</v>
      </c>
      <c r="C338" s="3" t="s">
        <v>25</v>
      </c>
      <c r="D338" s="3" t="s">
        <v>19</v>
      </c>
      <c r="E338" s="3" t="s">
        <v>34</v>
      </c>
      <c r="F338" s="3">
        <v>205</v>
      </c>
      <c r="G338" s="3">
        <v>199</v>
      </c>
      <c r="H338" s="3">
        <v>6</v>
      </c>
      <c r="I338" s="5">
        <f t="shared" si="31"/>
        <v>2.9268292682926831E-2</v>
      </c>
      <c r="J338" s="6">
        <f t="shared" si="32"/>
        <v>29268.292682926833</v>
      </c>
      <c r="K338" s="7">
        <v>1.78</v>
      </c>
      <c r="L338" s="3">
        <v>396</v>
      </c>
      <c r="M338" s="3">
        <v>450</v>
      </c>
      <c r="N338" s="3">
        <v>54</v>
      </c>
      <c r="O338" s="5">
        <f t="shared" si="33"/>
        <v>0.88</v>
      </c>
      <c r="P338" s="5">
        <f t="shared" si="34"/>
        <v>0.92146464646464643</v>
      </c>
      <c r="Q338" s="5">
        <f t="shared" si="35"/>
        <v>0.97073170731707314</v>
      </c>
      <c r="R338" s="5">
        <f t="shared" si="36"/>
        <v>0.7871555555555555</v>
      </c>
    </row>
    <row r="339" spans="1:18" x14ac:dyDescent="0.25">
      <c r="A339" s="3">
        <v>335</v>
      </c>
      <c r="B339" s="4">
        <v>46257</v>
      </c>
      <c r="C339" s="3" t="s">
        <v>25</v>
      </c>
      <c r="D339" s="3" t="s">
        <v>21</v>
      </c>
      <c r="E339" s="3" t="s">
        <v>20</v>
      </c>
      <c r="F339" s="3">
        <v>435</v>
      </c>
      <c r="G339" s="3">
        <v>420</v>
      </c>
      <c r="H339" s="3">
        <v>15</v>
      </c>
      <c r="I339" s="5">
        <f t="shared" si="31"/>
        <v>3.4482758620689655E-2</v>
      </c>
      <c r="J339" s="6">
        <f t="shared" si="32"/>
        <v>34482.758620689652</v>
      </c>
      <c r="K339" s="7">
        <v>0.86</v>
      </c>
      <c r="L339" s="3">
        <v>394</v>
      </c>
      <c r="M339" s="3">
        <v>450</v>
      </c>
      <c r="N339" s="3">
        <v>56</v>
      </c>
      <c r="O339" s="5">
        <f t="shared" si="33"/>
        <v>0.87555555555555553</v>
      </c>
      <c r="P339" s="5">
        <f t="shared" si="34"/>
        <v>0.94949238578680195</v>
      </c>
      <c r="Q339" s="5">
        <f t="shared" si="35"/>
        <v>0.96551724137931039</v>
      </c>
      <c r="R339" s="5">
        <f t="shared" si="36"/>
        <v>0.80266666666666664</v>
      </c>
    </row>
    <row r="340" spans="1:18" x14ac:dyDescent="0.25">
      <c r="A340" s="3">
        <v>336</v>
      </c>
      <c r="B340" s="4">
        <v>46257</v>
      </c>
      <c r="C340" s="3" t="s">
        <v>25</v>
      </c>
      <c r="D340" s="3" t="s">
        <v>23</v>
      </c>
      <c r="E340" s="3" t="s">
        <v>22</v>
      </c>
      <c r="F340" s="3">
        <v>196</v>
      </c>
      <c r="G340" s="3">
        <v>191</v>
      </c>
      <c r="H340" s="3">
        <v>5</v>
      </c>
      <c r="I340" s="5">
        <f t="shared" si="31"/>
        <v>2.5510204081632654E-2</v>
      </c>
      <c r="J340" s="6">
        <f t="shared" si="32"/>
        <v>25510.204081632655</v>
      </c>
      <c r="K340" s="7">
        <v>1.8</v>
      </c>
      <c r="L340" s="3">
        <v>445</v>
      </c>
      <c r="M340" s="3">
        <v>450</v>
      </c>
      <c r="N340" s="3">
        <v>5</v>
      </c>
      <c r="O340" s="5">
        <f t="shared" si="33"/>
        <v>0.98888888888888893</v>
      </c>
      <c r="P340" s="5">
        <f t="shared" si="34"/>
        <v>0.79280898876404493</v>
      </c>
      <c r="Q340" s="5">
        <f t="shared" si="35"/>
        <v>0.97448979591836737</v>
      </c>
      <c r="R340" s="5">
        <f t="shared" si="36"/>
        <v>0.76400000000000001</v>
      </c>
    </row>
    <row r="341" spans="1:18" x14ac:dyDescent="0.25">
      <c r="A341" s="3">
        <v>337</v>
      </c>
      <c r="B341" s="4">
        <v>46257</v>
      </c>
      <c r="C341" s="3" t="s">
        <v>28</v>
      </c>
      <c r="D341" s="3" t="s">
        <v>19</v>
      </c>
      <c r="E341" s="3" t="s">
        <v>31</v>
      </c>
      <c r="F341" s="3">
        <v>671</v>
      </c>
      <c r="G341" s="3">
        <v>660</v>
      </c>
      <c r="H341" s="3">
        <v>11</v>
      </c>
      <c r="I341" s="5">
        <f t="shared" si="31"/>
        <v>1.6393442622950821E-2</v>
      </c>
      <c r="J341" s="6">
        <f t="shared" si="32"/>
        <v>16393.442622950821</v>
      </c>
      <c r="K341" s="7">
        <v>0.52</v>
      </c>
      <c r="L341" s="3">
        <v>415</v>
      </c>
      <c r="M341" s="3">
        <v>450</v>
      </c>
      <c r="N341" s="3">
        <v>35</v>
      </c>
      <c r="O341" s="5">
        <f t="shared" si="33"/>
        <v>0.92222222222222228</v>
      </c>
      <c r="P341" s="5">
        <f t="shared" si="34"/>
        <v>0.84077108433734948</v>
      </c>
      <c r="Q341" s="5">
        <f t="shared" si="35"/>
        <v>0.98360655737704916</v>
      </c>
      <c r="R341" s="5">
        <f t="shared" si="36"/>
        <v>0.76266666666666683</v>
      </c>
    </row>
    <row r="342" spans="1:18" x14ac:dyDescent="0.25">
      <c r="A342" s="3">
        <v>338</v>
      </c>
      <c r="B342" s="4">
        <v>46257</v>
      </c>
      <c r="C342" s="3" t="s">
        <v>28</v>
      </c>
      <c r="D342" s="3" t="s">
        <v>21</v>
      </c>
      <c r="E342" s="3" t="s">
        <v>24</v>
      </c>
      <c r="F342" s="3">
        <v>231</v>
      </c>
      <c r="G342" s="3">
        <v>230</v>
      </c>
      <c r="H342" s="3">
        <v>1</v>
      </c>
      <c r="I342" s="5">
        <f t="shared" si="31"/>
        <v>4.329004329004329E-3</v>
      </c>
      <c r="J342" s="6">
        <f t="shared" si="32"/>
        <v>4329.0043290043286</v>
      </c>
      <c r="K342" s="7">
        <v>1.41</v>
      </c>
      <c r="L342" s="3">
        <v>397</v>
      </c>
      <c r="M342" s="3">
        <v>450</v>
      </c>
      <c r="N342" s="3">
        <v>53</v>
      </c>
      <c r="O342" s="5">
        <f t="shared" si="33"/>
        <v>0.88222222222222224</v>
      </c>
      <c r="P342" s="5">
        <f t="shared" si="34"/>
        <v>0.82042821158690171</v>
      </c>
      <c r="Q342" s="5">
        <f t="shared" si="35"/>
        <v>0.99567099567099571</v>
      </c>
      <c r="R342" s="5">
        <f t="shared" si="36"/>
        <v>0.72066666666666668</v>
      </c>
    </row>
    <row r="343" spans="1:18" x14ac:dyDescent="0.25">
      <c r="A343" s="3">
        <v>339</v>
      </c>
      <c r="B343" s="4">
        <v>46257</v>
      </c>
      <c r="C343" s="3" t="s">
        <v>28</v>
      </c>
      <c r="D343" s="3" t="s">
        <v>23</v>
      </c>
      <c r="E343" s="3" t="s">
        <v>34</v>
      </c>
      <c r="F343" s="3">
        <v>255</v>
      </c>
      <c r="G343" s="3">
        <v>254</v>
      </c>
      <c r="H343" s="3">
        <v>1</v>
      </c>
      <c r="I343" s="5">
        <f t="shared" si="31"/>
        <v>3.9215686274509803E-3</v>
      </c>
      <c r="J343" s="6">
        <f t="shared" si="32"/>
        <v>3921.5686274509803</v>
      </c>
      <c r="K343" s="7">
        <v>1.62</v>
      </c>
      <c r="L343" s="3">
        <v>434</v>
      </c>
      <c r="M343" s="3">
        <v>450</v>
      </c>
      <c r="N343" s="3">
        <v>16</v>
      </c>
      <c r="O343" s="5">
        <f t="shared" si="33"/>
        <v>0.96444444444444444</v>
      </c>
      <c r="P343" s="5">
        <f t="shared" si="34"/>
        <v>0.95184331797235033</v>
      </c>
      <c r="Q343" s="5">
        <f t="shared" si="35"/>
        <v>0.99607843137254903</v>
      </c>
      <c r="R343" s="5">
        <f t="shared" si="36"/>
        <v>0.9144000000000001</v>
      </c>
    </row>
    <row r="344" spans="1:18" x14ac:dyDescent="0.25">
      <c r="A344" s="3">
        <v>340</v>
      </c>
      <c r="B344" s="4">
        <v>46257</v>
      </c>
      <c r="C344" s="3" t="s">
        <v>30</v>
      </c>
      <c r="D344" s="3" t="s">
        <v>19</v>
      </c>
      <c r="E344" s="3" t="s">
        <v>34</v>
      </c>
      <c r="F344" s="3">
        <v>907</v>
      </c>
      <c r="G344" s="3">
        <v>882</v>
      </c>
      <c r="H344" s="3">
        <v>25</v>
      </c>
      <c r="I344" s="5">
        <f t="shared" si="31"/>
        <v>2.7563395810363836E-2</v>
      </c>
      <c r="J344" s="6">
        <f t="shared" si="32"/>
        <v>27563.395810363836</v>
      </c>
      <c r="K344" s="7">
        <v>0.39</v>
      </c>
      <c r="L344" s="3">
        <v>416</v>
      </c>
      <c r="M344" s="3">
        <v>450</v>
      </c>
      <c r="N344" s="3">
        <v>34</v>
      </c>
      <c r="O344" s="5">
        <f t="shared" si="33"/>
        <v>0.9244444444444444</v>
      </c>
      <c r="P344" s="5">
        <f t="shared" si="34"/>
        <v>0.85031250000000003</v>
      </c>
      <c r="Q344" s="5">
        <f t="shared" si="35"/>
        <v>0.97243660418963618</v>
      </c>
      <c r="R344" s="5">
        <f t="shared" si="36"/>
        <v>0.76440000000000008</v>
      </c>
    </row>
    <row r="345" spans="1:18" x14ac:dyDescent="0.25">
      <c r="A345" s="3">
        <v>341</v>
      </c>
      <c r="B345" s="4">
        <v>46257</v>
      </c>
      <c r="C345" s="3" t="s">
        <v>30</v>
      </c>
      <c r="D345" s="3" t="s">
        <v>21</v>
      </c>
      <c r="E345" s="3" t="s">
        <v>34</v>
      </c>
      <c r="F345" s="3">
        <v>423</v>
      </c>
      <c r="G345" s="3">
        <v>417</v>
      </c>
      <c r="H345" s="3">
        <v>6</v>
      </c>
      <c r="I345" s="5">
        <f t="shared" si="31"/>
        <v>1.4184397163120567E-2</v>
      </c>
      <c r="J345" s="6">
        <f t="shared" si="32"/>
        <v>14184.397163120568</v>
      </c>
      <c r="K345" s="7">
        <v>0.98</v>
      </c>
      <c r="L345" s="3">
        <v>411</v>
      </c>
      <c r="M345" s="3">
        <v>450</v>
      </c>
      <c r="N345" s="3">
        <v>39</v>
      </c>
      <c r="O345" s="5">
        <f t="shared" si="33"/>
        <v>0.91333333333333333</v>
      </c>
      <c r="P345" s="5">
        <f t="shared" si="34"/>
        <v>1.0086131386861314</v>
      </c>
      <c r="Q345" s="5">
        <f t="shared" si="35"/>
        <v>0.98581560283687941</v>
      </c>
      <c r="R345" s="5">
        <f t="shared" si="36"/>
        <v>0.90813333333333335</v>
      </c>
    </row>
    <row r="346" spans="1:18" x14ac:dyDescent="0.25">
      <c r="A346" s="3">
        <v>342</v>
      </c>
      <c r="B346" s="4">
        <v>46257</v>
      </c>
      <c r="C346" s="3" t="s">
        <v>30</v>
      </c>
      <c r="D346" s="3" t="s">
        <v>23</v>
      </c>
      <c r="E346" s="3" t="s">
        <v>35</v>
      </c>
      <c r="F346" s="3">
        <v>312</v>
      </c>
      <c r="G346" s="3">
        <v>298</v>
      </c>
      <c r="H346" s="3">
        <v>5</v>
      </c>
      <c r="I346" s="5">
        <f t="shared" si="31"/>
        <v>1.6025641025641024E-2</v>
      </c>
      <c r="J346" s="6">
        <f t="shared" si="32"/>
        <v>16025.641025641024</v>
      </c>
      <c r="K346" s="7">
        <v>1.33</v>
      </c>
      <c r="L346" s="3">
        <v>408</v>
      </c>
      <c r="M346" s="3">
        <v>450</v>
      </c>
      <c r="N346" s="3">
        <v>42</v>
      </c>
      <c r="O346" s="5">
        <f t="shared" si="33"/>
        <v>0.90666666666666662</v>
      </c>
      <c r="P346" s="5">
        <f t="shared" si="34"/>
        <v>1.0170588235294118</v>
      </c>
      <c r="Q346" s="5">
        <f t="shared" si="35"/>
        <v>0.95512820512820518</v>
      </c>
      <c r="R346" s="5">
        <f t="shared" si="36"/>
        <v>0.88075555555555562</v>
      </c>
    </row>
    <row r="347" spans="1:18" x14ac:dyDescent="0.25">
      <c r="A347" s="3">
        <v>343</v>
      </c>
      <c r="B347" s="4">
        <v>46257</v>
      </c>
      <c r="C347" s="3" t="s">
        <v>33</v>
      </c>
      <c r="D347" s="3" t="s">
        <v>19</v>
      </c>
      <c r="E347" s="3" t="s">
        <v>27</v>
      </c>
      <c r="F347" s="3">
        <v>278</v>
      </c>
      <c r="G347" s="3">
        <v>275</v>
      </c>
      <c r="H347" s="3">
        <v>3</v>
      </c>
      <c r="I347" s="5">
        <f t="shared" si="31"/>
        <v>1.0791366906474821E-2</v>
      </c>
      <c r="J347" s="6">
        <f t="shared" si="32"/>
        <v>10791.366906474821</v>
      </c>
      <c r="K347" s="7">
        <v>1.42</v>
      </c>
      <c r="L347" s="3">
        <v>442</v>
      </c>
      <c r="M347" s="3">
        <v>450</v>
      </c>
      <c r="N347" s="3">
        <v>8</v>
      </c>
      <c r="O347" s="5">
        <f t="shared" si="33"/>
        <v>0.98222222222222222</v>
      </c>
      <c r="P347" s="5">
        <f t="shared" si="34"/>
        <v>0.89312217194570132</v>
      </c>
      <c r="Q347" s="5">
        <f t="shared" si="35"/>
        <v>0.98920863309352514</v>
      </c>
      <c r="R347" s="5">
        <f t="shared" si="36"/>
        <v>0.86777777777777765</v>
      </c>
    </row>
    <row r="348" spans="1:18" x14ac:dyDescent="0.25">
      <c r="A348" s="3">
        <v>344</v>
      </c>
      <c r="B348" s="4">
        <v>46257</v>
      </c>
      <c r="C348" s="3" t="s">
        <v>33</v>
      </c>
      <c r="D348" s="3" t="s">
        <v>21</v>
      </c>
      <c r="E348" s="3" t="s">
        <v>22</v>
      </c>
      <c r="F348" s="3">
        <v>226</v>
      </c>
      <c r="G348" s="3">
        <v>221</v>
      </c>
      <c r="H348" s="3">
        <v>5</v>
      </c>
      <c r="I348" s="5">
        <f t="shared" si="31"/>
        <v>2.2123893805309734E-2</v>
      </c>
      <c r="J348" s="6">
        <f t="shared" si="32"/>
        <v>22123.893805309734</v>
      </c>
      <c r="K348" s="7">
        <v>1.53</v>
      </c>
      <c r="L348" s="3">
        <v>414</v>
      </c>
      <c r="M348" s="3">
        <v>450</v>
      </c>
      <c r="N348" s="3">
        <v>36</v>
      </c>
      <c r="O348" s="5">
        <f t="shared" si="33"/>
        <v>0.92</v>
      </c>
      <c r="P348" s="5">
        <f t="shared" si="34"/>
        <v>0.83521739130434791</v>
      </c>
      <c r="Q348" s="5">
        <f t="shared" si="35"/>
        <v>0.97787610619469023</v>
      </c>
      <c r="R348" s="5">
        <f t="shared" si="36"/>
        <v>0.75140000000000007</v>
      </c>
    </row>
    <row r="349" spans="1:18" x14ac:dyDescent="0.25">
      <c r="A349" s="3">
        <v>345</v>
      </c>
      <c r="B349" s="4">
        <v>46257</v>
      </c>
      <c r="C349" s="3" t="s">
        <v>33</v>
      </c>
      <c r="D349" s="3" t="s">
        <v>23</v>
      </c>
      <c r="E349" s="3" t="s">
        <v>24</v>
      </c>
      <c r="F349" s="3">
        <v>387</v>
      </c>
      <c r="G349" s="3">
        <v>375</v>
      </c>
      <c r="H349" s="3">
        <v>4</v>
      </c>
      <c r="I349" s="5">
        <f t="shared" si="31"/>
        <v>1.0335917312661499E-2</v>
      </c>
      <c r="J349" s="6">
        <f t="shared" si="32"/>
        <v>10335.917312661499</v>
      </c>
      <c r="K349" s="7">
        <v>1.02</v>
      </c>
      <c r="L349" s="3">
        <v>401</v>
      </c>
      <c r="M349" s="3">
        <v>450</v>
      </c>
      <c r="N349" s="3">
        <v>49</v>
      </c>
      <c r="O349" s="5">
        <f t="shared" si="33"/>
        <v>0.89111111111111108</v>
      </c>
      <c r="P349" s="5">
        <f t="shared" si="34"/>
        <v>0.98438902743142143</v>
      </c>
      <c r="Q349" s="5">
        <f t="shared" si="35"/>
        <v>0.96899224806201545</v>
      </c>
      <c r="R349" s="5">
        <f t="shared" si="36"/>
        <v>0.85</v>
      </c>
    </row>
    <row r="350" spans="1:18" x14ac:dyDescent="0.25">
      <c r="A350" s="3">
        <v>346</v>
      </c>
      <c r="B350" s="4">
        <v>46258</v>
      </c>
      <c r="C350" s="3" t="s">
        <v>18</v>
      </c>
      <c r="D350" s="3" t="s">
        <v>19</v>
      </c>
      <c r="E350" s="3" t="s">
        <v>34</v>
      </c>
      <c r="F350" s="3">
        <v>256</v>
      </c>
      <c r="G350" s="3">
        <v>251</v>
      </c>
      <c r="H350" s="3">
        <v>5</v>
      </c>
      <c r="I350" s="5">
        <f t="shared" si="31"/>
        <v>1.953125E-2</v>
      </c>
      <c r="J350" s="6">
        <f t="shared" si="32"/>
        <v>19531.25</v>
      </c>
      <c r="K350" s="7">
        <v>1.28</v>
      </c>
      <c r="L350" s="3">
        <v>387</v>
      </c>
      <c r="M350" s="3">
        <v>450</v>
      </c>
      <c r="N350" s="3">
        <v>63</v>
      </c>
      <c r="O350" s="5">
        <f t="shared" si="33"/>
        <v>0.86</v>
      </c>
      <c r="P350" s="5">
        <f t="shared" si="34"/>
        <v>0.84671834625322995</v>
      </c>
      <c r="Q350" s="5">
        <f t="shared" si="35"/>
        <v>0.98046875</v>
      </c>
      <c r="R350" s="5">
        <f t="shared" si="36"/>
        <v>0.71395555555555545</v>
      </c>
    </row>
    <row r="351" spans="1:18" x14ac:dyDescent="0.25">
      <c r="A351" s="3">
        <v>347</v>
      </c>
      <c r="B351" s="4">
        <v>46258</v>
      </c>
      <c r="C351" s="3" t="s">
        <v>18</v>
      </c>
      <c r="D351" s="3" t="s">
        <v>21</v>
      </c>
      <c r="E351" s="3" t="s">
        <v>20</v>
      </c>
      <c r="F351" s="3">
        <v>944</v>
      </c>
      <c r="G351" s="3">
        <v>924</v>
      </c>
      <c r="H351" s="3">
        <v>4</v>
      </c>
      <c r="I351" s="5">
        <f t="shared" si="31"/>
        <v>4.2372881355932203E-3</v>
      </c>
      <c r="J351" s="6">
        <f t="shared" si="32"/>
        <v>4237.2881355932204</v>
      </c>
      <c r="K351" s="7">
        <v>0.42</v>
      </c>
      <c r="L351" s="3">
        <v>406</v>
      </c>
      <c r="M351" s="3">
        <v>450</v>
      </c>
      <c r="N351" s="3">
        <v>44</v>
      </c>
      <c r="O351" s="5">
        <f t="shared" si="33"/>
        <v>0.90222222222222226</v>
      </c>
      <c r="P351" s="5">
        <f t="shared" si="34"/>
        <v>0.9765517241379309</v>
      </c>
      <c r="Q351" s="5">
        <f t="shared" si="35"/>
        <v>0.97881355932203384</v>
      </c>
      <c r="R351" s="5">
        <f t="shared" si="36"/>
        <v>0.86239999999999983</v>
      </c>
    </row>
    <row r="352" spans="1:18" x14ac:dyDescent="0.25">
      <c r="A352" s="3">
        <v>348</v>
      </c>
      <c r="B352" s="4">
        <v>46258</v>
      </c>
      <c r="C352" s="3" t="s">
        <v>18</v>
      </c>
      <c r="D352" s="3" t="s">
        <v>23</v>
      </c>
      <c r="E352" s="3" t="s">
        <v>20</v>
      </c>
      <c r="F352" s="3">
        <v>335</v>
      </c>
      <c r="G352" s="3">
        <v>326</v>
      </c>
      <c r="H352" s="3">
        <v>9</v>
      </c>
      <c r="I352" s="5">
        <f t="shared" si="31"/>
        <v>2.6865671641791045E-2</v>
      </c>
      <c r="J352" s="6">
        <f t="shared" si="32"/>
        <v>26865.671641791043</v>
      </c>
      <c r="K352" s="7">
        <v>0.99</v>
      </c>
      <c r="L352" s="3">
        <v>399</v>
      </c>
      <c r="M352" s="3">
        <v>450</v>
      </c>
      <c r="N352" s="3">
        <v>51</v>
      </c>
      <c r="O352" s="5">
        <f t="shared" si="33"/>
        <v>0.88666666666666671</v>
      </c>
      <c r="P352" s="5">
        <f t="shared" si="34"/>
        <v>0.83120300751879694</v>
      </c>
      <c r="Q352" s="5">
        <f t="shared" si="35"/>
        <v>0.9731343283582089</v>
      </c>
      <c r="R352" s="5">
        <f t="shared" si="36"/>
        <v>0.71719999999999995</v>
      </c>
    </row>
    <row r="353" spans="1:18" x14ac:dyDescent="0.25">
      <c r="A353" s="3">
        <v>349</v>
      </c>
      <c r="B353" s="4">
        <v>46258</v>
      </c>
      <c r="C353" s="3" t="s">
        <v>25</v>
      </c>
      <c r="D353" s="3" t="s">
        <v>19</v>
      </c>
      <c r="E353" s="3" t="s">
        <v>32</v>
      </c>
      <c r="F353" s="3">
        <v>497</v>
      </c>
      <c r="G353" s="3">
        <v>479</v>
      </c>
      <c r="H353" s="3">
        <v>3</v>
      </c>
      <c r="I353" s="5">
        <f t="shared" si="31"/>
        <v>6.0362173038229373E-3</v>
      </c>
      <c r="J353" s="6">
        <f t="shared" si="32"/>
        <v>6036.2173038229375</v>
      </c>
      <c r="K353" s="7">
        <v>0.69</v>
      </c>
      <c r="L353" s="3">
        <v>431</v>
      </c>
      <c r="M353" s="3">
        <v>450</v>
      </c>
      <c r="N353" s="3">
        <v>19</v>
      </c>
      <c r="O353" s="5">
        <f t="shared" si="33"/>
        <v>0.95777777777777773</v>
      </c>
      <c r="P353" s="5">
        <f t="shared" si="34"/>
        <v>0.79566125290023193</v>
      </c>
      <c r="Q353" s="5">
        <f t="shared" si="35"/>
        <v>0.96378269617706236</v>
      </c>
      <c r="R353" s="5">
        <f t="shared" si="36"/>
        <v>0.7344666666666666</v>
      </c>
    </row>
    <row r="354" spans="1:18" x14ac:dyDescent="0.25">
      <c r="A354" s="3">
        <v>350</v>
      </c>
      <c r="B354" s="4">
        <v>46258</v>
      </c>
      <c r="C354" s="3" t="s">
        <v>25</v>
      </c>
      <c r="D354" s="3" t="s">
        <v>21</v>
      </c>
      <c r="E354" s="3" t="s">
        <v>34</v>
      </c>
      <c r="F354" s="3">
        <v>401</v>
      </c>
      <c r="G354" s="3">
        <v>386</v>
      </c>
      <c r="H354" s="3">
        <v>15</v>
      </c>
      <c r="I354" s="5">
        <f t="shared" si="31"/>
        <v>3.7406483790523692E-2</v>
      </c>
      <c r="J354" s="6">
        <f t="shared" si="32"/>
        <v>37406.483790523693</v>
      </c>
      <c r="K354" s="7">
        <v>0.9</v>
      </c>
      <c r="L354" s="3">
        <v>407</v>
      </c>
      <c r="M354" s="3">
        <v>450</v>
      </c>
      <c r="N354" s="3">
        <v>43</v>
      </c>
      <c r="O354" s="5">
        <f t="shared" si="33"/>
        <v>0.9044444444444445</v>
      </c>
      <c r="P354" s="5">
        <f t="shared" si="34"/>
        <v>0.88673218673218679</v>
      </c>
      <c r="Q354" s="5">
        <f t="shared" si="35"/>
        <v>0.96259351620947631</v>
      </c>
      <c r="R354" s="5">
        <f t="shared" si="36"/>
        <v>0.77200000000000002</v>
      </c>
    </row>
    <row r="355" spans="1:18" x14ac:dyDescent="0.25">
      <c r="A355" s="3">
        <v>351</v>
      </c>
      <c r="B355" s="4">
        <v>46258</v>
      </c>
      <c r="C355" s="3" t="s">
        <v>25</v>
      </c>
      <c r="D355" s="3" t="s">
        <v>23</v>
      </c>
      <c r="E355" s="3" t="s">
        <v>20</v>
      </c>
      <c r="F355" s="3">
        <v>498</v>
      </c>
      <c r="G355" s="3">
        <v>477</v>
      </c>
      <c r="H355" s="3">
        <v>4</v>
      </c>
      <c r="I355" s="5">
        <f t="shared" si="31"/>
        <v>8.0321285140562242E-3</v>
      </c>
      <c r="J355" s="6">
        <f t="shared" si="32"/>
        <v>8032.128514056224</v>
      </c>
      <c r="K355" s="7">
        <v>0.82</v>
      </c>
      <c r="L355" s="3">
        <v>422</v>
      </c>
      <c r="M355" s="3">
        <v>450</v>
      </c>
      <c r="N355" s="3">
        <v>28</v>
      </c>
      <c r="O355" s="5">
        <f t="shared" si="33"/>
        <v>0.93777777777777782</v>
      </c>
      <c r="P355" s="5">
        <f t="shared" si="34"/>
        <v>0.96767772511848327</v>
      </c>
      <c r="Q355" s="5">
        <f t="shared" si="35"/>
        <v>0.95783132530120485</v>
      </c>
      <c r="R355" s="5">
        <f t="shared" si="36"/>
        <v>0.86919999999999986</v>
      </c>
    </row>
    <row r="356" spans="1:18" x14ac:dyDescent="0.25">
      <c r="A356" s="3">
        <v>352</v>
      </c>
      <c r="B356" s="4">
        <v>46258</v>
      </c>
      <c r="C356" s="3" t="s">
        <v>28</v>
      </c>
      <c r="D356" s="3" t="s">
        <v>19</v>
      </c>
      <c r="E356" s="3" t="s">
        <v>31</v>
      </c>
      <c r="F356" s="3">
        <v>285</v>
      </c>
      <c r="G356" s="3">
        <v>279</v>
      </c>
      <c r="H356" s="3">
        <v>6</v>
      </c>
      <c r="I356" s="5">
        <f t="shared" si="31"/>
        <v>2.1052631578947368E-2</v>
      </c>
      <c r="J356" s="6">
        <f t="shared" si="32"/>
        <v>21052.631578947367</v>
      </c>
      <c r="K356" s="7">
        <v>1.31</v>
      </c>
      <c r="L356" s="3">
        <v>387</v>
      </c>
      <c r="M356" s="3">
        <v>450</v>
      </c>
      <c r="N356" s="3">
        <v>63</v>
      </c>
      <c r="O356" s="5">
        <f t="shared" si="33"/>
        <v>0.86</v>
      </c>
      <c r="P356" s="5">
        <f t="shared" si="34"/>
        <v>0.96472868217054264</v>
      </c>
      <c r="Q356" s="5">
        <f t="shared" si="35"/>
        <v>0.97894736842105268</v>
      </c>
      <c r="R356" s="5">
        <f t="shared" si="36"/>
        <v>0.81220000000000003</v>
      </c>
    </row>
    <row r="357" spans="1:18" x14ac:dyDescent="0.25">
      <c r="A357" s="3">
        <v>353</v>
      </c>
      <c r="B357" s="4">
        <v>46258</v>
      </c>
      <c r="C357" s="3" t="s">
        <v>28</v>
      </c>
      <c r="D357" s="3" t="s">
        <v>21</v>
      </c>
      <c r="E357" s="3" t="s">
        <v>22</v>
      </c>
      <c r="F357" s="3">
        <v>401</v>
      </c>
      <c r="G357" s="3">
        <v>394</v>
      </c>
      <c r="H357" s="3">
        <v>7</v>
      </c>
      <c r="I357" s="5">
        <f t="shared" si="31"/>
        <v>1.7456359102244388E-2</v>
      </c>
      <c r="J357" s="6">
        <f t="shared" si="32"/>
        <v>17456.359102244387</v>
      </c>
      <c r="K357" s="7">
        <v>0.95</v>
      </c>
      <c r="L357" s="3">
        <v>419</v>
      </c>
      <c r="M357" s="3">
        <v>450</v>
      </c>
      <c r="N357" s="3">
        <v>31</v>
      </c>
      <c r="O357" s="5">
        <f t="shared" si="33"/>
        <v>0.93111111111111111</v>
      </c>
      <c r="P357" s="5">
        <f t="shared" si="34"/>
        <v>0.90918854415274464</v>
      </c>
      <c r="Q357" s="5">
        <f t="shared" si="35"/>
        <v>0.98254364089775559</v>
      </c>
      <c r="R357" s="5">
        <f t="shared" si="36"/>
        <v>0.83177777777777784</v>
      </c>
    </row>
    <row r="358" spans="1:18" x14ac:dyDescent="0.25">
      <c r="A358" s="3">
        <v>354</v>
      </c>
      <c r="B358" s="4">
        <v>46258</v>
      </c>
      <c r="C358" s="3" t="s">
        <v>28</v>
      </c>
      <c r="D358" s="3" t="s">
        <v>23</v>
      </c>
      <c r="E358" s="3" t="s">
        <v>27</v>
      </c>
      <c r="F358" s="3">
        <v>681</v>
      </c>
      <c r="G358" s="3">
        <v>667</v>
      </c>
      <c r="H358" s="3">
        <v>14</v>
      </c>
      <c r="I358" s="5">
        <f t="shared" si="31"/>
        <v>2.0558002936857563E-2</v>
      </c>
      <c r="J358" s="6">
        <f t="shared" si="32"/>
        <v>20558.002936857563</v>
      </c>
      <c r="K358" s="7">
        <v>0.5</v>
      </c>
      <c r="L358" s="3">
        <v>420</v>
      </c>
      <c r="M358" s="3">
        <v>450</v>
      </c>
      <c r="N358" s="3">
        <v>30</v>
      </c>
      <c r="O358" s="5">
        <f t="shared" si="33"/>
        <v>0.93333333333333335</v>
      </c>
      <c r="P358" s="5">
        <f t="shared" si="34"/>
        <v>0.81071428571428572</v>
      </c>
      <c r="Q358" s="5">
        <f t="shared" si="35"/>
        <v>0.97944199706314239</v>
      </c>
      <c r="R358" s="5">
        <f t="shared" si="36"/>
        <v>0.74111111111111116</v>
      </c>
    </row>
    <row r="359" spans="1:18" x14ac:dyDescent="0.25">
      <c r="A359" s="3">
        <v>355</v>
      </c>
      <c r="B359" s="4">
        <v>46258</v>
      </c>
      <c r="C359" s="3" t="s">
        <v>30</v>
      </c>
      <c r="D359" s="3" t="s">
        <v>19</v>
      </c>
      <c r="E359" s="3" t="s">
        <v>27</v>
      </c>
      <c r="F359" s="3">
        <v>366</v>
      </c>
      <c r="G359" s="3">
        <v>364</v>
      </c>
      <c r="H359" s="3">
        <v>2</v>
      </c>
      <c r="I359" s="5">
        <f t="shared" si="31"/>
        <v>5.4644808743169399E-3</v>
      </c>
      <c r="J359" s="6">
        <f t="shared" si="32"/>
        <v>5464.4808743169397</v>
      </c>
      <c r="K359" s="7">
        <v>1.1599999999999999</v>
      </c>
      <c r="L359" s="3">
        <v>420</v>
      </c>
      <c r="M359" s="3">
        <v>450</v>
      </c>
      <c r="N359" s="3">
        <v>30</v>
      </c>
      <c r="O359" s="5">
        <f t="shared" si="33"/>
        <v>0.93333333333333335</v>
      </c>
      <c r="P359" s="5">
        <f t="shared" si="34"/>
        <v>1.0108571428571427</v>
      </c>
      <c r="Q359" s="5">
        <f t="shared" si="35"/>
        <v>0.99453551912568305</v>
      </c>
      <c r="R359" s="5">
        <f t="shared" si="36"/>
        <v>0.93831111111111098</v>
      </c>
    </row>
    <row r="360" spans="1:18" x14ac:dyDescent="0.25">
      <c r="A360" s="3">
        <v>356</v>
      </c>
      <c r="B360" s="4">
        <v>46258</v>
      </c>
      <c r="C360" s="3" t="s">
        <v>30</v>
      </c>
      <c r="D360" s="3" t="s">
        <v>21</v>
      </c>
      <c r="E360" s="3" t="s">
        <v>31</v>
      </c>
      <c r="F360" s="3">
        <v>245</v>
      </c>
      <c r="G360" s="3">
        <v>242</v>
      </c>
      <c r="H360" s="3">
        <v>3</v>
      </c>
      <c r="I360" s="5">
        <f t="shared" si="31"/>
        <v>1.2244897959183673E-2</v>
      </c>
      <c r="J360" s="6">
        <f t="shared" si="32"/>
        <v>12244.897959183672</v>
      </c>
      <c r="K360" s="7">
        <v>1.25</v>
      </c>
      <c r="L360" s="3">
        <v>391</v>
      </c>
      <c r="M360" s="3">
        <v>450</v>
      </c>
      <c r="N360" s="3">
        <v>59</v>
      </c>
      <c r="O360" s="5">
        <f t="shared" si="33"/>
        <v>0.86888888888888893</v>
      </c>
      <c r="P360" s="5">
        <f t="shared" si="34"/>
        <v>0.78324808184143224</v>
      </c>
      <c r="Q360" s="5">
        <f t="shared" si="35"/>
        <v>0.98775510204081629</v>
      </c>
      <c r="R360" s="5">
        <f t="shared" si="36"/>
        <v>0.67222222222222228</v>
      </c>
    </row>
    <row r="361" spans="1:18" x14ac:dyDescent="0.25">
      <c r="A361" s="3">
        <v>357</v>
      </c>
      <c r="B361" s="4">
        <v>46258</v>
      </c>
      <c r="C361" s="3" t="s">
        <v>30</v>
      </c>
      <c r="D361" s="3" t="s">
        <v>23</v>
      </c>
      <c r="E361" s="3" t="s">
        <v>24</v>
      </c>
      <c r="F361" s="3">
        <v>670</v>
      </c>
      <c r="G361" s="3">
        <v>660</v>
      </c>
      <c r="H361" s="3">
        <v>10</v>
      </c>
      <c r="I361" s="5">
        <f t="shared" si="31"/>
        <v>1.4925373134328358E-2</v>
      </c>
      <c r="J361" s="6">
        <f t="shared" si="32"/>
        <v>14925.373134328358</v>
      </c>
      <c r="K361" s="7">
        <v>0.52</v>
      </c>
      <c r="L361" s="3">
        <v>418</v>
      </c>
      <c r="M361" s="3">
        <v>450</v>
      </c>
      <c r="N361" s="3">
        <v>32</v>
      </c>
      <c r="O361" s="5">
        <f t="shared" si="33"/>
        <v>0.92888888888888888</v>
      </c>
      <c r="P361" s="5">
        <f t="shared" si="34"/>
        <v>0.83349282296650729</v>
      </c>
      <c r="Q361" s="5">
        <f t="shared" si="35"/>
        <v>0.9850746268656716</v>
      </c>
      <c r="R361" s="5">
        <f t="shared" si="36"/>
        <v>0.76266666666666671</v>
      </c>
    </row>
    <row r="362" spans="1:18" x14ac:dyDescent="0.25">
      <c r="A362" s="3">
        <v>358</v>
      </c>
      <c r="B362" s="4">
        <v>46258</v>
      </c>
      <c r="C362" s="3" t="s">
        <v>33</v>
      </c>
      <c r="D362" s="3" t="s">
        <v>19</v>
      </c>
      <c r="E362" s="3" t="s">
        <v>20</v>
      </c>
      <c r="F362" s="3">
        <v>356</v>
      </c>
      <c r="G362" s="3">
        <v>353</v>
      </c>
      <c r="H362" s="3">
        <v>3</v>
      </c>
      <c r="I362" s="5">
        <f t="shared" si="31"/>
        <v>8.4269662921348312E-3</v>
      </c>
      <c r="J362" s="6">
        <f t="shared" si="32"/>
        <v>8426.9662921348317</v>
      </c>
      <c r="K362" s="7">
        <v>0.93</v>
      </c>
      <c r="L362" s="3">
        <v>425</v>
      </c>
      <c r="M362" s="3">
        <v>450</v>
      </c>
      <c r="N362" s="3">
        <v>25</v>
      </c>
      <c r="O362" s="5">
        <f t="shared" si="33"/>
        <v>0.94444444444444442</v>
      </c>
      <c r="P362" s="5">
        <f t="shared" si="34"/>
        <v>0.7790117647058824</v>
      </c>
      <c r="Q362" s="5">
        <f t="shared" si="35"/>
        <v>0.9915730337078652</v>
      </c>
      <c r="R362" s="5">
        <f t="shared" si="36"/>
        <v>0.72953333333333337</v>
      </c>
    </row>
    <row r="363" spans="1:18" x14ac:dyDescent="0.25">
      <c r="A363" s="3">
        <v>359</v>
      </c>
      <c r="B363" s="4">
        <v>46258</v>
      </c>
      <c r="C363" s="3" t="s">
        <v>33</v>
      </c>
      <c r="D363" s="3" t="s">
        <v>21</v>
      </c>
      <c r="E363" s="3" t="s">
        <v>26</v>
      </c>
      <c r="F363" s="3">
        <v>773</v>
      </c>
      <c r="G363" s="3">
        <v>760</v>
      </c>
      <c r="H363" s="3">
        <v>13</v>
      </c>
      <c r="I363" s="5">
        <f t="shared" si="31"/>
        <v>1.6817593790426907E-2</v>
      </c>
      <c r="J363" s="6">
        <f t="shared" si="32"/>
        <v>16817.593790426905</v>
      </c>
      <c r="K363" s="7">
        <v>0.49</v>
      </c>
      <c r="L363" s="3">
        <v>413</v>
      </c>
      <c r="M363" s="3">
        <v>450</v>
      </c>
      <c r="N363" s="3">
        <v>37</v>
      </c>
      <c r="O363" s="5">
        <f t="shared" si="33"/>
        <v>0.9177777777777778</v>
      </c>
      <c r="P363" s="5">
        <f t="shared" si="34"/>
        <v>0.91711864406779653</v>
      </c>
      <c r="Q363" s="5">
        <f t="shared" si="35"/>
        <v>0.98318240620957309</v>
      </c>
      <c r="R363" s="5">
        <f t="shared" si="36"/>
        <v>0.82755555555555549</v>
      </c>
    </row>
    <row r="364" spans="1:18" x14ac:dyDescent="0.25">
      <c r="A364" s="3">
        <v>360</v>
      </c>
      <c r="B364" s="4">
        <v>46258</v>
      </c>
      <c r="C364" s="3" t="s">
        <v>33</v>
      </c>
      <c r="D364" s="3" t="s">
        <v>23</v>
      </c>
      <c r="E364" s="3" t="s">
        <v>20</v>
      </c>
      <c r="F364" s="3">
        <v>290</v>
      </c>
      <c r="G364" s="3">
        <v>278</v>
      </c>
      <c r="H364" s="3">
        <v>12</v>
      </c>
      <c r="I364" s="5">
        <f t="shared" si="31"/>
        <v>4.1379310344827586E-2</v>
      </c>
      <c r="J364" s="6">
        <f t="shared" si="32"/>
        <v>41379.310344827587</v>
      </c>
      <c r="K364" s="7">
        <v>1.1499999999999999</v>
      </c>
      <c r="L364" s="3">
        <v>425</v>
      </c>
      <c r="M364" s="3">
        <v>450</v>
      </c>
      <c r="N364" s="3">
        <v>25</v>
      </c>
      <c r="O364" s="5">
        <f t="shared" si="33"/>
        <v>0.94444444444444442</v>
      </c>
      <c r="P364" s="5">
        <f t="shared" si="34"/>
        <v>0.78470588235294114</v>
      </c>
      <c r="Q364" s="5">
        <f t="shared" si="35"/>
        <v>0.95862068965517244</v>
      </c>
      <c r="R364" s="5">
        <f t="shared" si="36"/>
        <v>0.71044444444444443</v>
      </c>
    </row>
    <row r="365" spans="1:18" x14ac:dyDescent="0.25">
      <c r="A365" s="3">
        <v>361</v>
      </c>
      <c r="B365" s="4">
        <v>46259</v>
      </c>
      <c r="C365" s="3" t="s">
        <v>18</v>
      </c>
      <c r="D365" s="3" t="s">
        <v>19</v>
      </c>
      <c r="E365" s="3" t="s">
        <v>29</v>
      </c>
      <c r="F365" s="3">
        <v>687</v>
      </c>
      <c r="G365" s="3">
        <v>681</v>
      </c>
      <c r="H365" s="3">
        <v>6</v>
      </c>
      <c r="I365" s="5">
        <f t="shared" si="31"/>
        <v>8.7336244541484712E-3</v>
      </c>
      <c r="J365" s="6">
        <f t="shared" si="32"/>
        <v>8733.6244541484721</v>
      </c>
      <c r="K365" s="7">
        <v>0.51</v>
      </c>
      <c r="L365" s="3">
        <v>432</v>
      </c>
      <c r="M365" s="3">
        <v>450</v>
      </c>
      <c r="N365" s="3">
        <v>18</v>
      </c>
      <c r="O365" s="5">
        <f t="shared" si="33"/>
        <v>0.96</v>
      </c>
      <c r="P365" s="5">
        <f t="shared" si="34"/>
        <v>0.81104166666666666</v>
      </c>
      <c r="Q365" s="5">
        <f t="shared" si="35"/>
        <v>0.99126637554585151</v>
      </c>
      <c r="R365" s="5">
        <f t="shared" si="36"/>
        <v>0.77179999999999993</v>
      </c>
    </row>
    <row r="366" spans="1:18" x14ac:dyDescent="0.25">
      <c r="A366" s="3">
        <v>362</v>
      </c>
      <c r="B366" s="4">
        <v>46259</v>
      </c>
      <c r="C366" s="3" t="s">
        <v>18</v>
      </c>
      <c r="D366" s="3" t="s">
        <v>21</v>
      </c>
      <c r="E366" s="3" t="s">
        <v>32</v>
      </c>
      <c r="F366" s="3">
        <v>216</v>
      </c>
      <c r="G366" s="3">
        <v>206</v>
      </c>
      <c r="H366" s="3">
        <v>10</v>
      </c>
      <c r="I366" s="5">
        <f t="shared" si="31"/>
        <v>4.6296296296296294E-2</v>
      </c>
      <c r="J366" s="6">
        <f t="shared" si="32"/>
        <v>46296.296296296292</v>
      </c>
      <c r="K366" s="7">
        <v>1.77</v>
      </c>
      <c r="L366" s="3">
        <v>411</v>
      </c>
      <c r="M366" s="3">
        <v>450</v>
      </c>
      <c r="N366" s="3">
        <v>39</v>
      </c>
      <c r="O366" s="5">
        <f t="shared" si="33"/>
        <v>0.91333333333333333</v>
      </c>
      <c r="P366" s="5">
        <f t="shared" si="34"/>
        <v>0.93021897810218979</v>
      </c>
      <c r="Q366" s="5">
        <f t="shared" si="35"/>
        <v>0.95370370370370372</v>
      </c>
      <c r="R366" s="5">
        <f t="shared" si="36"/>
        <v>0.81026666666666669</v>
      </c>
    </row>
    <row r="367" spans="1:18" x14ac:dyDescent="0.25">
      <c r="A367" s="3">
        <v>363</v>
      </c>
      <c r="B367" s="4">
        <v>46259</v>
      </c>
      <c r="C367" s="3" t="s">
        <v>18</v>
      </c>
      <c r="D367" s="3" t="s">
        <v>23</v>
      </c>
      <c r="E367" s="3" t="s">
        <v>31</v>
      </c>
      <c r="F367" s="3">
        <v>870</v>
      </c>
      <c r="G367" s="3">
        <v>860</v>
      </c>
      <c r="H367" s="3">
        <v>10</v>
      </c>
      <c r="I367" s="5">
        <f t="shared" si="31"/>
        <v>1.1494252873563218E-2</v>
      </c>
      <c r="J367" s="6">
        <f t="shared" si="32"/>
        <v>11494.252873563219</v>
      </c>
      <c r="K367" s="7">
        <v>0.48</v>
      </c>
      <c r="L367" s="3">
        <v>408</v>
      </c>
      <c r="M367" s="3">
        <v>450</v>
      </c>
      <c r="N367" s="3">
        <v>42</v>
      </c>
      <c r="O367" s="5">
        <f t="shared" si="33"/>
        <v>0.90666666666666662</v>
      </c>
      <c r="P367" s="5">
        <f t="shared" si="34"/>
        <v>1.0235294117647058</v>
      </c>
      <c r="Q367" s="5">
        <f t="shared" si="35"/>
        <v>0.9885057471264368</v>
      </c>
      <c r="R367" s="5">
        <f t="shared" si="36"/>
        <v>0.91733333333333322</v>
      </c>
    </row>
    <row r="368" spans="1:18" x14ac:dyDescent="0.25">
      <c r="A368" s="3">
        <v>364</v>
      </c>
      <c r="B368" s="4">
        <v>46259</v>
      </c>
      <c r="C368" s="3" t="s">
        <v>25</v>
      </c>
      <c r="D368" s="3" t="s">
        <v>19</v>
      </c>
      <c r="E368" s="3" t="s">
        <v>31</v>
      </c>
      <c r="F368" s="3">
        <v>288</v>
      </c>
      <c r="G368" s="3">
        <v>276</v>
      </c>
      <c r="H368" s="3">
        <v>12</v>
      </c>
      <c r="I368" s="5">
        <f t="shared" si="31"/>
        <v>4.1666666666666664E-2</v>
      </c>
      <c r="J368" s="6">
        <f t="shared" si="32"/>
        <v>41666.666666666664</v>
      </c>
      <c r="K368" s="7">
        <v>1.25</v>
      </c>
      <c r="L368" s="3">
        <v>411</v>
      </c>
      <c r="M368" s="3">
        <v>450</v>
      </c>
      <c r="N368" s="3">
        <v>39</v>
      </c>
      <c r="O368" s="5">
        <f t="shared" si="33"/>
        <v>0.91333333333333333</v>
      </c>
      <c r="P368" s="5">
        <f t="shared" si="34"/>
        <v>0.87591240875912413</v>
      </c>
      <c r="Q368" s="5">
        <f t="shared" si="35"/>
        <v>0.95833333333333337</v>
      </c>
      <c r="R368" s="5">
        <f t="shared" si="36"/>
        <v>0.76666666666666672</v>
      </c>
    </row>
    <row r="369" spans="1:18" x14ac:dyDescent="0.25">
      <c r="A369" s="3">
        <v>365</v>
      </c>
      <c r="B369" s="4">
        <v>46259</v>
      </c>
      <c r="C369" s="3" t="s">
        <v>25</v>
      </c>
      <c r="D369" s="3" t="s">
        <v>21</v>
      </c>
      <c r="E369" s="3" t="s">
        <v>31</v>
      </c>
      <c r="F369" s="3">
        <v>758</v>
      </c>
      <c r="G369" s="3">
        <v>744</v>
      </c>
      <c r="H369" s="3">
        <v>14</v>
      </c>
      <c r="I369" s="5">
        <f t="shared" si="31"/>
        <v>1.8469656992084433E-2</v>
      </c>
      <c r="J369" s="6">
        <f t="shared" si="32"/>
        <v>18469.656992084434</v>
      </c>
      <c r="K369" s="7">
        <v>0.56999999999999995</v>
      </c>
      <c r="L369" s="3">
        <v>420</v>
      </c>
      <c r="M369" s="3">
        <v>450</v>
      </c>
      <c r="N369" s="3">
        <v>30</v>
      </c>
      <c r="O369" s="5">
        <f t="shared" si="33"/>
        <v>0.93333333333333335</v>
      </c>
      <c r="P369" s="5">
        <f t="shared" si="34"/>
        <v>1.0287142857142857</v>
      </c>
      <c r="Q369" s="5">
        <f t="shared" si="35"/>
        <v>0.98153034300791553</v>
      </c>
      <c r="R369" s="5">
        <f t="shared" si="36"/>
        <v>0.9423999999999999</v>
      </c>
    </row>
    <row r="370" spans="1:18" x14ac:dyDescent="0.25">
      <c r="A370" s="3">
        <v>366</v>
      </c>
      <c r="B370" s="4">
        <v>46259</v>
      </c>
      <c r="C370" s="3" t="s">
        <v>25</v>
      </c>
      <c r="D370" s="3" t="s">
        <v>23</v>
      </c>
      <c r="E370" s="3" t="s">
        <v>26</v>
      </c>
      <c r="F370" s="3">
        <v>262</v>
      </c>
      <c r="G370" s="3">
        <v>251</v>
      </c>
      <c r="H370" s="3">
        <v>11</v>
      </c>
      <c r="I370" s="5">
        <f t="shared" si="31"/>
        <v>4.1984732824427481E-2</v>
      </c>
      <c r="J370" s="6">
        <f t="shared" si="32"/>
        <v>41984.732824427483</v>
      </c>
      <c r="K370" s="7">
        <v>1.29</v>
      </c>
      <c r="L370" s="3">
        <v>427</v>
      </c>
      <c r="M370" s="3">
        <v>450</v>
      </c>
      <c r="N370" s="3">
        <v>23</v>
      </c>
      <c r="O370" s="5">
        <f t="shared" si="33"/>
        <v>0.94888888888888889</v>
      </c>
      <c r="P370" s="5">
        <f t="shared" si="34"/>
        <v>0.79152224824355977</v>
      </c>
      <c r="Q370" s="5">
        <f t="shared" si="35"/>
        <v>0.9580152671755725</v>
      </c>
      <c r="R370" s="5">
        <f t="shared" si="36"/>
        <v>0.71953333333333336</v>
      </c>
    </row>
    <row r="371" spans="1:18" x14ac:dyDescent="0.25">
      <c r="A371" s="3">
        <v>367</v>
      </c>
      <c r="B371" s="4">
        <v>46259</v>
      </c>
      <c r="C371" s="3" t="s">
        <v>28</v>
      </c>
      <c r="D371" s="3" t="s">
        <v>19</v>
      </c>
      <c r="E371" s="3" t="s">
        <v>29</v>
      </c>
      <c r="F371" s="3">
        <v>315</v>
      </c>
      <c r="G371" s="3">
        <v>312</v>
      </c>
      <c r="H371" s="3">
        <v>3</v>
      </c>
      <c r="I371" s="5">
        <f t="shared" si="31"/>
        <v>9.5238095238095247E-3</v>
      </c>
      <c r="J371" s="6">
        <f t="shared" si="32"/>
        <v>9523.8095238095248</v>
      </c>
      <c r="K371" s="7">
        <v>1.17</v>
      </c>
      <c r="L371" s="3">
        <v>386</v>
      </c>
      <c r="M371" s="3">
        <v>450</v>
      </c>
      <c r="N371" s="3">
        <v>64</v>
      </c>
      <c r="O371" s="5">
        <f t="shared" si="33"/>
        <v>0.85777777777777775</v>
      </c>
      <c r="P371" s="5">
        <f t="shared" si="34"/>
        <v>0.95479274611398957</v>
      </c>
      <c r="Q371" s="5">
        <f t="shared" si="35"/>
        <v>0.99047619047619051</v>
      </c>
      <c r="R371" s="5">
        <f t="shared" si="36"/>
        <v>0.81120000000000003</v>
      </c>
    </row>
    <row r="372" spans="1:18" x14ac:dyDescent="0.25">
      <c r="A372" s="3">
        <v>368</v>
      </c>
      <c r="B372" s="4">
        <v>46259</v>
      </c>
      <c r="C372" s="3" t="s">
        <v>28</v>
      </c>
      <c r="D372" s="3" t="s">
        <v>21</v>
      </c>
      <c r="E372" s="3" t="s">
        <v>32</v>
      </c>
      <c r="F372" s="3">
        <v>348</v>
      </c>
      <c r="G372" s="3">
        <v>345</v>
      </c>
      <c r="H372" s="3">
        <v>3</v>
      </c>
      <c r="I372" s="5">
        <f t="shared" si="31"/>
        <v>8.6206896551724137E-3</v>
      </c>
      <c r="J372" s="6">
        <f t="shared" si="32"/>
        <v>8620.689655172413</v>
      </c>
      <c r="K372" s="7">
        <v>1.1200000000000001</v>
      </c>
      <c r="L372" s="3">
        <v>436</v>
      </c>
      <c r="M372" s="3">
        <v>450</v>
      </c>
      <c r="N372" s="3">
        <v>14</v>
      </c>
      <c r="O372" s="5">
        <f t="shared" si="33"/>
        <v>0.96888888888888891</v>
      </c>
      <c r="P372" s="5">
        <f t="shared" si="34"/>
        <v>0.89394495412844044</v>
      </c>
      <c r="Q372" s="5">
        <f t="shared" si="35"/>
        <v>0.99137931034482762</v>
      </c>
      <c r="R372" s="5">
        <f t="shared" si="36"/>
        <v>0.8586666666666668</v>
      </c>
    </row>
    <row r="373" spans="1:18" x14ac:dyDescent="0.25">
      <c r="A373" s="3">
        <v>369</v>
      </c>
      <c r="B373" s="4">
        <v>46259</v>
      </c>
      <c r="C373" s="3" t="s">
        <v>28</v>
      </c>
      <c r="D373" s="3" t="s">
        <v>23</v>
      </c>
      <c r="E373" s="3" t="s">
        <v>34</v>
      </c>
      <c r="F373" s="3">
        <v>573</v>
      </c>
      <c r="G373" s="3">
        <v>570</v>
      </c>
      <c r="H373" s="3">
        <v>3</v>
      </c>
      <c r="I373" s="5">
        <f t="shared" si="31"/>
        <v>5.235602094240838E-3</v>
      </c>
      <c r="J373" s="6">
        <f t="shared" si="32"/>
        <v>5235.6020942408377</v>
      </c>
      <c r="K373" s="7">
        <v>0.7</v>
      </c>
      <c r="L373" s="3">
        <v>404</v>
      </c>
      <c r="M373" s="3">
        <v>450</v>
      </c>
      <c r="N373" s="3">
        <v>46</v>
      </c>
      <c r="O373" s="5">
        <f t="shared" si="33"/>
        <v>0.89777777777777779</v>
      </c>
      <c r="P373" s="5">
        <f t="shared" si="34"/>
        <v>0.9928217821782177</v>
      </c>
      <c r="Q373" s="5">
        <f t="shared" si="35"/>
        <v>0.99476439790575921</v>
      </c>
      <c r="R373" s="5">
        <f t="shared" si="36"/>
        <v>0.8866666666666666</v>
      </c>
    </row>
    <row r="374" spans="1:18" x14ac:dyDescent="0.25">
      <c r="A374" s="3">
        <v>370</v>
      </c>
      <c r="B374" s="4">
        <v>46259</v>
      </c>
      <c r="C374" s="3" t="s">
        <v>30</v>
      </c>
      <c r="D374" s="3" t="s">
        <v>19</v>
      </c>
      <c r="E374" s="3" t="s">
        <v>34</v>
      </c>
      <c r="F374" s="3">
        <v>225</v>
      </c>
      <c r="G374" s="3">
        <v>223</v>
      </c>
      <c r="H374" s="3">
        <v>2</v>
      </c>
      <c r="I374" s="5">
        <f t="shared" si="31"/>
        <v>8.8888888888888889E-3</v>
      </c>
      <c r="J374" s="6">
        <f t="shared" si="32"/>
        <v>8888.8888888888887</v>
      </c>
      <c r="K374" s="7">
        <v>1.38</v>
      </c>
      <c r="L374" s="3">
        <v>398</v>
      </c>
      <c r="M374" s="3">
        <v>450</v>
      </c>
      <c r="N374" s="3">
        <v>52</v>
      </c>
      <c r="O374" s="5">
        <f t="shared" si="33"/>
        <v>0.88444444444444448</v>
      </c>
      <c r="P374" s="5">
        <f t="shared" si="34"/>
        <v>0.78015075376884424</v>
      </c>
      <c r="Q374" s="5">
        <f t="shared" si="35"/>
        <v>0.99111111111111116</v>
      </c>
      <c r="R374" s="5">
        <f t="shared" si="36"/>
        <v>0.68386666666666673</v>
      </c>
    </row>
    <row r="375" spans="1:18" x14ac:dyDescent="0.25">
      <c r="A375" s="3">
        <v>371</v>
      </c>
      <c r="B375" s="4">
        <v>46259</v>
      </c>
      <c r="C375" s="3" t="s">
        <v>30</v>
      </c>
      <c r="D375" s="3" t="s">
        <v>21</v>
      </c>
      <c r="E375" s="3" t="s">
        <v>24</v>
      </c>
      <c r="F375" s="3">
        <v>230</v>
      </c>
      <c r="G375" s="3">
        <v>224</v>
      </c>
      <c r="H375" s="3">
        <v>6</v>
      </c>
      <c r="I375" s="5">
        <f t="shared" si="31"/>
        <v>2.6086956521739129E-2</v>
      </c>
      <c r="J375" s="6">
        <f t="shared" si="32"/>
        <v>26086.956521739128</v>
      </c>
      <c r="K375" s="7">
        <v>1.33</v>
      </c>
      <c r="L375" s="3">
        <v>385</v>
      </c>
      <c r="M375" s="3">
        <v>450</v>
      </c>
      <c r="N375" s="3">
        <v>65</v>
      </c>
      <c r="O375" s="5">
        <f t="shared" si="33"/>
        <v>0.85555555555555551</v>
      </c>
      <c r="P375" s="5">
        <f t="shared" si="34"/>
        <v>0.79454545454545467</v>
      </c>
      <c r="Q375" s="5">
        <f t="shared" si="35"/>
        <v>0.97391304347826091</v>
      </c>
      <c r="R375" s="5">
        <f t="shared" si="36"/>
        <v>0.66204444444444455</v>
      </c>
    </row>
    <row r="376" spans="1:18" x14ac:dyDescent="0.25">
      <c r="A376" s="3">
        <v>372</v>
      </c>
      <c r="B376" s="4">
        <v>46259</v>
      </c>
      <c r="C376" s="3" t="s">
        <v>30</v>
      </c>
      <c r="D376" s="3" t="s">
        <v>23</v>
      </c>
      <c r="E376" s="3" t="s">
        <v>31</v>
      </c>
      <c r="F376" s="3">
        <v>273</v>
      </c>
      <c r="G376" s="3">
        <v>264</v>
      </c>
      <c r="H376" s="3">
        <v>9</v>
      </c>
      <c r="I376" s="5">
        <f t="shared" si="31"/>
        <v>3.2967032967032968E-2</v>
      </c>
      <c r="J376" s="6">
        <f t="shared" si="32"/>
        <v>32967.032967032967</v>
      </c>
      <c r="K376" s="7">
        <v>1.34</v>
      </c>
      <c r="L376" s="3">
        <v>420</v>
      </c>
      <c r="M376" s="3">
        <v>450</v>
      </c>
      <c r="N376" s="3">
        <v>30</v>
      </c>
      <c r="O376" s="5">
        <f t="shared" si="33"/>
        <v>0.93333333333333335</v>
      </c>
      <c r="P376" s="5">
        <f t="shared" si="34"/>
        <v>0.87100000000000011</v>
      </c>
      <c r="Q376" s="5">
        <f t="shared" si="35"/>
        <v>0.96703296703296704</v>
      </c>
      <c r="R376" s="5">
        <f t="shared" si="36"/>
        <v>0.78613333333333335</v>
      </c>
    </row>
    <row r="377" spans="1:18" x14ac:dyDescent="0.25">
      <c r="A377" s="3">
        <v>373</v>
      </c>
      <c r="B377" s="4">
        <v>46259</v>
      </c>
      <c r="C377" s="3" t="s">
        <v>33</v>
      </c>
      <c r="D377" s="3" t="s">
        <v>19</v>
      </c>
      <c r="E377" s="3" t="s">
        <v>32</v>
      </c>
      <c r="F377" s="3">
        <v>281</v>
      </c>
      <c r="G377" s="3">
        <v>274</v>
      </c>
      <c r="H377" s="3">
        <v>7</v>
      </c>
      <c r="I377" s="5">
        <f t="shared" si="31"/>
        <v>2.491103202846975E-2</v>
      </c>
      <c r="J377" s="6">
        <f t="shared" si="32"/>
        <v>24911.032028469752</v>
      </c>
      <c r="K377" s="7">
        <v>1.21</v>
      </c>
      <c r="L377" s="3">
        <v>410</v>
      </c>
      <c r="M377" s="3">
        <v>450</v>
      </c>
      <c r="N377" s="3">
        <v>40</v>
      </c>
      <c r="O377" s="5">
        <f t="shared" si="33"/>
        <v>0.91111111111111109</v>
      </c>
      <c r="P377" s="5">
        <f t="shared" si="34"/>
        <v>0.82929268292682923</v>
      </c>
      <c r="Q377" s="5">
        <f t="shared" si="35"/>
        <v>0.97508896797153022</v>
      </c>
      <c r="R377" s="5">
        <f t="shared" si="36"/>
        <v>0.73675555555555539</v>
      </c>
    </row>
    <row r="378" spans="1:18" x14ac:dyDescent="0.25">
      <c r="A378" s="3">
        <v>374</v>
      </c>
      <c r="B378" s="4">
        <v>46259</v>
      </c>
      <c r="C378" s="3" t="s">
        <v>33</v>
      </c>
      <c r="D378" s="3" t="s">
        <v>21</v>
      </c>
      <c r="E378" s="3" t="s">
        <v>24</v>
      </c>
      <c r="F378" s="3">
        <v>214</v>
      </c>
      <c r="G378" s="3">
        <v>210</v>
      </c>
      <c r="H378" s="3">
        <v>4</v>
      </c>
      <c r="I378" s="5">
        <f t="shared" si="31"/>
        <v>1.8691588785046728E-2</v>
      </c>
      <c r="J378" s="6">
        <f t="shared" si="32"/>
        <v>18691.588785046726</v>
      </c>
      <c r="K378" s="7">
        <v>1.63</v>
      </c>
      <c r="L378" s="3">
        <v>389</v>
      </c>
      <c r="M378" s="3">
        <v>450</v>
      </c>
      <c r="N378" s="3">
        <v>61</v>
      </c>
      <c r="O378" s="5">
        <f t="shared" si="33"/>
        <v>0.86444444444444446</v>
      </c>
      <c r="P378" s="5">
        <f t="shared" si="34"/>
        <v>0.8967095115681234</v>
      </c>
      <c r="Q378" s="5">
        <f t="shared" si="35"/>
        <v>0.98130841121495327</v>
      </c>
      <c r="R378" s="5">
        <f t="shared" si="36"/>
        <v>0.76066666666666671</v>
      </c>
    </row>
    <row r="379" spans="1:18" x14ac:dyDescent="0.25">
      <c r="A379" s="3">
        <v>375</v>
      </c>
      <c r="B379" s="4">
        <v>46259</v>
      </c>
      <c r="C379" s="3" t="s">
        <v>33</v>
      </c>
      <c r="D379" s="3" t="s">
        <v>23</v>
      </c>
      <c r="E379" s="3" t="s">
        <v>31</v>
      </c>
      <c r="F379" s="3">
        <v>724</v>
      </c>
      <c r="G379" s="3">
        <v>721</v>
      </c>
      <c r="H379" s="3">
        <v>3</v>
      </c>
      <c r="I379" s="5">
        <f t="shared" si="31"/>
        <v>4.1436464088397788E-3</v>
      </c>
      <c r="J379" s="6">
        <f t="shared" si="32"/>
        <v>4143.6464088397788</v>
      </c>
      <c r="K379" s="7">
        <v>0.47</v>
      </c>
      <c r="L379" s="3">
        <v>405</v>
      </c>
      <c r="M379" s="3">
        <v>450</v>
      </c>
      <c r="N379" s="3">
        <v>45</v>
      </c>
      <c r="O379" s="5">
        <f t="shared" si="33"/>
        <v>0.9</v>
      </c>
      <c r="P379" s="5">
        <f t="shared" si="34"/>
        <v>0.84019753086419746</v>
      </c>
      <c r="Q379" s="5">
        <f t="shared" si="35"/>
        <v>0.9958563535911602</v>
      </c>
      <c r="R379" s="5">
        <f t="shared" si="36"/>
        <v>0.75304444444444441</v>
      </c>
    </row>
    <row r="380" spans="1:18" x14ac:dyDescent="0.25">
      <c r="A380" s="3">
        <v>376</v>
      </c>
      <c r="B380" s="4">
        <v>46260</v>
      </c>
      <c r="C380" s="3" t="s">
        <v>18</v>
      </c>
      <c r="D380" s="3" t="s">
        <v>19</v>
      </c>
      <c r="E380" s="3" t="s">
        <v>31</v>
      </c>
      <c r="F380" s="3">
        <v>218</v>
      </c>
      <c r="G380" s="3">
        <v>216</v>
      </c>
      <c r="H380" s="3">
        <v>2</v>
      </c>
      <c r="I380" s="5">
        <f t="shared" si="31"/>
        <v>9.1743119266055051E-3</v>
      </c>
      <c r="J380" s="6">
        <f t="shared" si="32"/>
        <v>9174.3119266055055</v>
      </c>
      <c r="K380" s="7">
        <v>1.78</v>
      </c>
      <c r="L380" s="3">
        <v>395</v>
      </c>
      <c r="M380" s="3">
        <v>450</v>
      </c>
      <c r="N380" s="3">
        <v>55</v>
      </c>
      <c r="O380" s="5">
        <f t="shared" si="33"/>
        <v>0.87777777777777777</v>
      </c>
      <c r="P380" s="5">
        <f t="shared" si="34"/>
        <v>0.98237974683544305</v>
      </c>
      <c r="Q380" s="5">
        <f t="shared" si="35"/>
        <v>0.99082568807339455</v>
      </c>
      <c r="R380" s="5">
        <f t="shared" si="36"/>
        <v>0.85440000000000005</v>
      </c>
    </row>
    <row r="381" spans="1:18" x14ac:dyDescent="0.25">
      <c r="A381" s="3">
        <v>377</v>
      </c>
      <c r="B381" s="4">
        <v>46260</v>
      </c>
      <c r="C381" s="3" t="s">
        <v>18</v>
      </c>
      <c r="D381" s="3" t="s">
        <v>21</v>
      </c>
      <c r="E381" s="3" t="s">
        <v>22</v>
      </c>
      <c r="F381" s="3">
        <v>502</v>
      </c>
      <c r="G381" s="3">
        <v>494</v>
      </c>
      <c r="H381" s="3">
        <v>8</v>
      </c>
      <c r="I381" s="5">
        <f t="shared" si="31"/>
        <v>1.5936254980079681E-2</v>
      </c>
      <c r="J381" s="6">
        <f t="shared" si="32"/>
        <v>15936.254980079681</v>
      </c>
      <c r="K381" s="7">
        <v>0.76</v>
      </c>
      <c r="L381" s="3">
        <v>432</v>
      </c>
      <c r="M381" s="3">
        <v>450</v>
      </c>
      <c r="N381" s="3">
        <v>18</v>
      </c>
      <c r="O381" s="5">
        <f t="shared" si="33"/>
        <v>0.96</v>
      </c>
      <c r="P381" s="5">
        <f t="shared" si="34"/>
        <v>0.88314814814814813</v>
      </c>
      <c r="Q381" s="5">
        <f t="shared" si="35"/>
        <v>0.98406374501992033</v>
      </c>
      <c r="R381" s="5">
        <f t="shared" si="36"/>
        <v>0.834311111111111</v>
      </c>
    </row>
    <row r="382" spans="1:18" x14ac:dyDescent="0.25">
      <c r="A382" s="3">
        <v>378</v>
      </c>
      <c r="B382" s="4">
        <v>46260</v>
      </c>
      <c r="C382" s="3" t="s">
        <v>18</v>
      </c>
      <c r="D382" s="3" t="s">
        <v>23</v>
      </c>
      <c r="E382" s="3" t="s">
        <v>31</v>
      </c>
      <c r="F382" s="3">
        <v>293</v>
      </c>
      <c r="G382" s="3">
        <v>290</v>
      </c>
      <c r="H382" s="3">
        <v>3</v>
      </c>
      <c r="I382" s="5">
        <f t="shared" si="31"/>
        <v>1.0238907849829351E-2</v>
      </c>
      <c r="J382" s="6">
        <f t="shared" si="32"/>
        <v>10238.907849829351</v>
      </c>
      <c r="K382" s="7">
        <v>1.51</v>
      </c>
      <c r="L382" s="3">
        <v>444</v>
      </c>
      <c r="M382" s="3">
        <v>450</v>
      </c>
      <c r="N382" s="3">
        <v>6</v>
      </c>
      <c r="O382" s="5">
        <f t="shared" si="33"/>
        <v>0.98666666666666669</v>
      </c>
      <c r="P382" s="5">
        <f t="shared" si="34"/>
        <v>0.99646396396396397</v>
      </c>
      <c r="Q382" s="5">
        <f t="shared" si="35"/>
        <v>0.98976109215017061</v>
      </c>
      <c r="R382" s="5">
        <f t="shared" si="36"/>
        <v>0.97311111111111115</v>
      </c>
    </row>
    <row r="383" spans="1:18" x14ac:dyDescent="0.25">
      <c r="A383" s="3">
        <v>379</v>
      </c>
      <c r="B383" s="4">
        <v>46260</v>
      </c>
      <c r="C383" s="3" t="s">
        <v>25</v>
      </c>
      <c r="D383" s="3" t="s">
        <v>19</v>
      </c>
      <c r="E383" s="3" t="s">
        <v>20</v>
      </c>
      <c r="F383" s="3">
        <v>213</v>
      </c>
      <c r="G383" s="3">
        <v>204</v>
      </c>
      <c r="H383" s="3">
        <v>9</v>
      </c>
      <c r="I383" s="5">
        <f t="shared" si="31"/>
        <v>4.2253521126760563E-2</v>
      </c>
      <c r="J383" s="6">
        <f t="shared" si="32"/>
        <v>42253.521126760563</v>
      </c>
      <c r="K383" s="7">
        <v>1.48</v>
      </c>
      <c r="L383" s="3">
        <v>387</v>
      </c>
      <c r="M383" s="3">
        <v>450</v>
      </c>
      <c r="N383" s="3">
        <v>63</v>
      </c>
      <c r="O383" s="5">
        <f t="shared" si="33"/>
        <v>0.86</v>
      </c>
      <c r="P383" s="5">
        <f t="shared" si="34"/>
        <v>0.8145736434108527</v>
      </c>
      <c r="Q383" s="5">
        <f t="shared" si="35"/>
        <v>0.95774647887323938</v>
      </c>
      <c r="R383" s="5">
        <f t="shared" si="36"/>
        <v>0.67093333333333327</v>
      </c>
    </row>
    <row r="384" spans="1:18" x14ac:dyDescent="0.25">
      <c r="A384" s="3">
        <v>380</v>
      </c>
      <c r="B384" s="4">
        <v>46260</v>
      </c>
      <c r="C384" s="3" t="s">
        <v>25</v>
      </c>
      <c r="D384" s="3" t="s">
        <v>21</v>
      </c>
      <c r="E384" s="3" t="s">
        <v>26</v>
      </c>
      <c r="F384" s="3">
        <v>323</v>
      </c>
      <c r="G384" s="3">
        <v>322</v>
      </c>
      <c r="H384" s="3">
        <v>1</v>
      </c>
      <c r="I384" s="5">
        <f t="shared" si="31"/>
        <v>3.0959752321981426E-3</v>
      </c>
      <c r="J384" s="6">
        <f t="shared" si="32"/>
        <v>3095.9752321981427</v>
      </c>
      <c r="K384" s="7">
        <v>1.1000000000000001</v>
      </c>
      <c r="L384" s="3">
        <v>434</v>
      </c>
      <c r="M384" s="3">
        <v>450</v>
      </c>
      <c r="N384" s="3">
        <v>16</v>
      </c>
      <c r="O384" s="5">
        <f t="shared" si="33"/>
        <v>0.96444444444444444</v>
      </c>
      <c r="P384" s="5">
        <f t="shared" si="34"/>
        <v>0.81866359447004611</v>
      </c>
      <c r="Q384" s="5">
        <f t="shared" si="35"/>
        <v>0.99690402476780182</v>
      </c>
      <c r="R384" s="5">
        <f t="shared" si="36"/>
        <v>0.78711111111111109</v>
      </c>
    </row>
    <row r="385" spans="1:18" x14ac:dyDescent="0.25">
      <c r="A385" s="3">
        <v>381</v>
      </c>
      <c r="B385" s="4">
        <v>46260</v>
      </c>
      <c r="C385" s="3" t="s">
        <v>25</v>
      </c>
      <c r="D385" s="3" t="s">
        <v>23</v>
      </c>
      <c r="E385" s="3" t="s">
        <v>26</v>
      </c>
      <c r="F385" s="3">
        <v>603</v>
      </c>
      <c r="G385" s="3">
        <v>581</v>
      </c>
      <c r="H385" s="3">
        <v>3</v>
      </c>
      <c r="I385" s="5">
        <f t="shared" si="31"/>
        <v>4.9751243781094526E-3</v>
      </c>
      <c r="J385" s="6">
        <f t="shared" si="32"/>
        <v>4975.1243781094527</v>
      </c>
      <c r="K385" s="7">
        <v>0.71</v>
      </c>
      <c r="L385" s="3">
        <v>425</v>
      </c>
      <c r="M385" s="3">
        <v>450</v>
      </c>
      <c r="N385" s="3">
        <v>25</v>
      </c>
      <c r="O385" s="5">
        <f t="shared" si="33"/>
        <v>0.94444444444444442</v>
      </c>
      <c r="P385" s="5">
        <f t="shared" si="34"/>
        <v>1.0073647058823529</v>
      </c>
      <c r="Q385" s="5">
        <f t="shared" si="35"/>
        <v>0.96351575456053073</v>
      </c>
      <c r="R385" s="5">
        <f t="shared" si="36"/>
        <v>0.916688888888889</v>
      </c>
    </row>
    <row r="386" spans="1:18" x14ac:dyDescent="0.25">
      <c r="A386" s="3">
        <v>382</v>
      </c>
      <c r="B386" s="4">
        <v>46260</v>
      </c>
      <c r="C386" s="3" t="s">
        <v>28</v>
      </c>
      <c r="D386" s="3" t="s">
        <v>19</v>
      </c>
      <c r="E386" s="3" t="s">
        <v>24</v>
      </c>
      <c r="F386" s="3">
        <v>205</v>
      </c>
      <c r="G386" s="3">
        <v>202</v>
      </c>
      <c r="H386" s="3">
        <v>3</v>
      </c>
      <c r="I386" s="5">
        <f t="shared" si="31"/>
        <v>1.4634146341463415E-2</v>
      </c>
      <c r="J386" s="6">
        <f t="shared" si="32"/>
        <v>14634.146341463416</v>
      </c>
      <c r="K386" s="7">
        <v>1.76</v>
      </c>
      <c r="L386" s="3">
        <v>390</v>
      </c>
      <c r="M386" s="3">
        <v>450</v>
      </c>
      <c r="N386" s="3">
        <v>60</v>
      </c>
      <c r="O386" s="5">
        <f t="shared" si="33"/>
        <v>0.8666666666666667</v>
      </c>
      <c r="P386" s="5">
        <f t="shared" si="34"/>
        <v>0.92512820512820515</v>
      </c>
      <c r="Q386" s="5">
        <f t="shared" si="35"/>
        <v>0.98536585365853657</v>
      </c>
      <c r="R386" s="5">
        <f t="shared" si="36"/>
        <v>0.79004444444444444</v>
      </c>
    </row>
    <row r="387" spans="1:18" x14ac:dyDescent="0.25">
      <c r="A387" s="3">
        <v>383</v>
      </c>
      <c r="B387" s="4">
        <v>46260</v>
      </c>
      <c r="C387" s="3" t="s">
        <v>28</v>
      </c>
      <c r="D387" s="3" t="s">
        <v>21</v>
      </c>
      <c r="E387" s="3" t="s">
        <v>20</v>
      </c>
      <c r="F387" s="3">
        <v>331</v>
      </c>
      <c r="G387" s="3">
        <v>326</v>
      </c>
      <c r="H387" s="3">
        <v>5</v>
      </c>
      <c r="I387" s="5">
        <f t="shared" si="31"/>
        <v>1.5105740181268883E-2</v>
      </c>
      <c r="J387" s="6">
        <f t="shared" si="32"/>
        <v>15105.740181268882</v>
      </c>
      <c r="K387" s="7">
        <v>1.1399999999999999</v>
      </c>
      <c r="L387" s="3">
        <v>439</v>
      </c>
      <c r="M387" s="3">
        <v>450</v>
      </c>
      <c r="N387" s="3">
        <v>11</v>
      </c>
      <c r="O387" s="5">
        <f t="shared" si="33"/>
        <v>0.97555555555555551</v>
      </c>
      <c r="P387" s="5">
        <f t="shared" si="34"/>
        <v>0.85954441913439628</v>
      </c>
      <c r="Q387" s="5">
        <f t="shared" si="35"/>
        <v>0.98489425981873113</v>
      </c>
      <c r="R387" s="5">
        <f t="shared" si="36"/>
        <v>0.82586666666666664</v>
      </c>
    </row>
    <row r="388" spans="1:18" x14ac:dyDescent="0.25">
      <c r="A388" s="3">
        <v>384</v>
      </c>
      <c r="B388" s="4">
        <v>46260</v>
      </c>
      <c r="C388" s="3" t="s">
        <v>28</v>
      </c>
      <c r="D388" s="3" t="s">
        <v>23</v>
      </c>
      <c r="E388" s="3" t="s">
        <v>27</v>
      </c>
      <c r="F388" s="3">
        <v>292</v>
      </c>
      <c r="G388" s="3">
        <v>283</v>
      </c>
      <c r="H388" s="3">
        <v>9</v>
      </c>
      <c r="I388" s="5">
        <f t="shared" si="31"/>
        <v>3.0821917808219176E-2</v>
      </c>
      <c r="J388" s="6">
        <f t="shared" si="32"/>
        <v>30821.917808219176</v>
      </c>
      <c r="K388" s="7">
        <v>1.18</v>
      </c>
      <c r="L388" s="3">
        <v>385</v>
      </c>
      <c r="M388" s="3">
        <v>450</v>
      </c>
      <c r="N388" s="3">
        <v>65</v>
      </c>
      <c r="O388" s="5">
        <f t="shared" si="33"/>
        <v>0.85555555555555551</v>
      </c>
      <c r="P388" s="5">
        <f t="shared" si="34"/>
        <v>0.89496103896103896</v>
      </c>
      <c r="Q388" s="5">
        <f t="shared" si="35"/>
        <v>0.96917808219178081</v>
      </c>
      <c r="R388" s="5">
        <f t="shared" si="36"/>
        <v>0.74208888888888891</v>
      </c>
    </row>
    <row r="389" spans="1:18" x14ac:dyDescent="0.25">
      <c r="A389" s="3">
        <v>385</v>
      </c>
      <c r="B389" s="4">
        <v>46260</v>
      </c>
      <c r="C389" s="3" t="s">
        <v>30</v>
      </c>
      <c r="D389" s="3" t="s">
        <v>19</v>
      </c>
      <c r="E389" s="3" t="s">
        <v>26</v>
      </c>
      <c r="F389" s="3">
        <v>813</v>
      </c>
      <c r="G389" s="3">
        <v>793</v>
      </c>
      <c r="H389" s="3">
        <v>20</v>
      </c>
      <c r="I389" s="5">
        <f t="shared" ref="I389:I452" si="37">IFERROR(H389/F389,0)</f>
        <v>2.4600246002460024E-2</v>
      </c>
      <c r="J389" s="6">
        <f t="shared" ref="J389:J451" si="38">I389*1000000</f>
        <v>24600.246002460026</v>
      </c>
      <c r="K389" s="7">
        <v>0.54</v>
      </c>
      <c r="L389" s="3">
        <v>434</v>
      </c>
      <c r="M389" s="3">
        <v>450</v>
      </c>
      <c r="N389" s="3">
        <v>16</v>
      </c>
      <c r="O389" s="5">
        <f t="shared" ref="O389:O452" si="39">IFERROR(L389/M389,0)</f>
        <v>0.96444444444444444</v>
      </c>
      <c r="P389" s="5">
        <f t="shared" ref="P389:P452" si="40">IFERROR(F389*K389/L389,0)</f>
        <v>1.0115668202764978</v>
      </c>
      <c r="Q389" s="5">
        <f t="shared" ref="Q389:Q452" si="41">IFERROR(G389/F389,0)</f>
        <v>0.97539975399753998</v>
      </c>
      <c r="R389" s="5">
        <f t="shared" ref="R389:R452" si="42">O389*P389*Q389</f>
        <v>0.95160000000000011</v>
      </c>
    </row>
    <row r="390" spans="1:18" x14ac:dyDescent="0.25">
      <c r="A390" s="3">
        <v>386</v>
      </c>
      <c r="B390" s="4">
        <v>46260</v>
      </c>
      <c r="C390" s="3" t="s">
        <v>30</v>
      </c>
      <c r="D390" s="3" t="s">
        <v>21</v>
      </c>
      <c r="E390" s="3" t="s">
        <v>27</v>
      </c>
      <c r="F390" s="3">
        <v>269</v>
      </c>
      <c r="G390" s="3">
        <v>260</v>
      </c>
      <c r="H390" s="3">
        <v>9</v>
      </c>
      <c r="I390" s="5">
        <f t="shared" si="37"/>
        <v>3.3457249070631967E-2</v>
      </c>
      <c r="J390" s="6">
        <f t="shared" si="38"/>
        <v>33457.249070631966</v>
      </c>
      <c r="K390" s="7">
        <v>1.54</v>
      </c>
      <c r="L390" s="3">
        <v>434</v>
      </c>
      <c r="M390" s="3">
        <v>450</v>
      </c>
      <c r="N390" s="3">
        <v>16</v>
      </c>
      <c r="O390" s="5">
        <f t="shared" si="39"/>
        <v>0.96444444444444444</v>
      </c>
      <c r="P390" s="5">
        <f t="shared" si="40"/>
        <v>0.95451612903225802</v>
      </c>
      <c r="Q390" s="5">
        <f t="shared" si="41"/>
        <v>0.96654275092936803</v>
      </c>
      <c r="R390" s="5">
        <f t="shared" si="42"/>
        <v>0.88977777777777767</v>
      </c>
    </row>
    <row r="391" spans="1:18" x14ac:dyDescent="0.25">
      <c r="A391" s="3">
        <v>387</v>
      </c>
      <c r="B391" s="4">
        <v>46260</v>
      </c>
      <c r="C391" s="3" t="s">
        <v>30</v>
      </c>
      <c r="D391" s="3" t="s">
        <v>23</v>
      </c>
      <c r="E391" s="3" t="s">
        <v>29</v>
      </c>
      <c r="F391" s="3">
        <v>233</v>
      </c>
      <c r="G391" s="3">
        <v>230</v>
      </c>
      <c r="H391" s="3">
        <v>3</v>
      </c>
      <c r="I391" s="5">
        <f t="shared" si="37"/>
        <v>1.2875536480686695E-2</v>
      </c>
      <c r="J391" s="6">
        <f t="shared" si="38"/>
        <v>12875.536480686695</v>
      </c>
      <c r="K391" s="7">
        <v>1.62</v>
      </c>
      <c r="L391" s="3">
        <v>406</v>
      </c>
      <c r="M391" s="3">
        <v>450</v>
      </c>
      <c r="N391" s="3">
        <v>44</v>
      </c>
      <c r="O391" s="5">
        <f t="shared" si="39"/>
        <v>0.90222222222222226</v>
      </c>
      <c r="P391" s="5">
        <f t="shared" si="40"/>
        <v>0.92970443349753706</v>
      </c>
      <c r="Q391" s="5">
        <f t="shared" si="41"/>
        <v>0.98712446351931327</v>
      </c>
      <c r="R391" s="5">
        <f t="shared" si="42"/>
        <v>0.82800000000000007</v>
      </c>
    </row>
    <row r="392" spans="1:18" x14ac:dyDescent="0.25">
      <c r="A392" s="3">
        <v>388</v>
      </c>
      <c r="B392" s="4">
        <v>46260</v>
      </c>
      <c r="C392" s="3" t="s">
        <v>33</v>
      </c>
      <c r="D392" s="3" t="s">
        <v>19</v>
      </c>
      <c r="E392" s="3" t="s">
        <v>20</v>
      </c>
      <c r="F392" s="3">
        <v>653</v>
      </c>
      <c r="G392" s="3">
        <v>644</v>
      </c>
      <c r="H392" s="3">
        <v>9</v>
      </c>
      <c r="I392" s="5">
        <f t="shared" si="37"/>
        <v>1.3782542113323124E-2</v>
      </c>
      <c r="J392" s="6">
        <f t="shared" si="38"/>
        <v>13782.542113323123</v>
      </c>
      <c r="K392" s="7">
        <v>0.49</v>
      </c>
      <c r="L392" s="3">
        <v>402</v>
      </c>
      <c r="M392" s="3">
        <v>450</v>
      </c>
      <c r="N392" s="3">
        <v>48</v>
      </c>
      <c r="O392" s="5">
        <f t="shared" si="39"/>
        <v>0.89333333333333331</v>
      </c>
      <c r="P392" s="5">
        <f t="shared" si="40"/>
        <v>0.79594527363184076</v>
      </c>
      <c r="Q392" s="5">
        <f t="shared" si="41"/>
        <v>0.98621745788667692</v>
      </c>
      <c r="R392" s="5">
        <f t="shared" si="42"/>
        <v>0.70124444444444445</v>
      </c>
    </row>
    <row r="393" spans="1:18" x14ac:dyDescent="0.25">
      <c r="A393" s="3">
        <v>389</v>
      </c>
      <c r="B393" s="4">
        <v>46260</v>
      </c>
      <c r="C393" s="3" t="s">
        <v>33</v>
      </c>
      <c r="D393" s="3" t="s">
        <v>21</v>
      </c>
      <c r="E393" s="3" t="s">
        <v>27</v>
      </c>
      <c r="F393" s="3">
        <v>852</v>
      </c>
      <c r="G393" s="3">
        <v>844</v>
      </c>
      <c r="H393" s="3">
        <v>8</v>
      </c>
      <c r="I393" s="5">
        <f t="shared" si="37"/>
        <v>9.3896713615023476E-3</v>
      </c>
      <c r="J393" s="6">
        <f t="shared" si="38"/>
        <v>9389.6713615023473</v>
      </c>
      <c r="K393" s="7">
        <v>0.44</v>
      </c>
      <c r="L393" s="3">
        <v>409</v>
      </c>
      <c r="M393" s="3">
        <v>450</v>
      </c>
      <c r="N393" s="3">
        <v>41</v>
      </c>
      <c r="O393" s="5">
        <f t="shared" si="39"/>
        <v>0.90888888888888886</v>
      </c>
      <c r="P393" s="5">
        <f t="shared" si="40"/>
        <v>0.91657701711491446</v>
      </c>
      <c r="Q393" s="5">
        <f t="shared" si="41"/>
        <v>0.99061032863849763</v>
      </c>
      <c r="R393" s="5">
        <f t="shared" si="42"/>
        <v>0.82524444444444434</v>
      </c>
    </row>
    <row r="394" spans="1:18" x14ac:dyDescent="0.25">
      <c r="A394" s="3">
        <v>390</v>
      </c>
      <c r="B394" s="4">
        <v>46260</v>
      </c>
      <c r="C394" s="3" t="s">
        <v>33</v>
      </c>
      <c r="D394" s="3" t="s">
        <v>23</v>
      </c>
      <c r="E394" s="3" t="s">
        <v>22</v>
      </c>
      <c r="F394" s="3">
        <v>325</v>
      </c>
      <c r="G394" s="3">
        <v>320</v>
      </c>
      <c r="H394" s="3">
        <v>5</v>
      </c>
      <c r="I394" s="5">
        <f t="shared" si="37"/>
        <v>1.5384615384615385E-2</v>
      </c>
      <c r="J394" s="6">
        <f t="shared" si="38"/>
        <v>15384.615384615385</v>
      </c>
      <c r="K394" s="7">
        <v>1.24</v>
      </c>
      <c r="L394" s="3">
        <v>409</v>
      </c>
      <c r="M394" s="3">
        <v>450</v>
      </c>
      <c r="N394" s="3">
        <v>41</v>
      </c>
      <c r="O394" s="5">
        <f t="shared" si="39"/>
        <v>0.90888888888888886</v>
      </c>
      <c r="P394" s="5">
        <f t="shared" si="40"/>
        <v>0.9853300733496333</v>
      </c>
      <c r="Q394" s="5">
        <f t="shared" si="41"/>
        <v>0.98461538461538467</v>
      </c>
      <c r="R394" s="5">
        <f t="shared" si="42"/>
        <v>0.88177777777777777</v>
      </c>
    </row>
    <row r="395" spans="1:18" x14ac:dyDescent="0.25">
      <c r="A395" s="3">
        <v>391</v>
      </c>
      <c r="B395" s="4">
        <v>46261</v>
      </c>
      <c r="C395" s="3" t="s">
        <v>18</v>
      </c>
      <c r="D395" s="3" t="s">
        <v>19</v>
      </c>
      <c r="E395" s="3" t="s">
        <v>32</v>
      </c>
      <c r="F395" s="3">
        <v>317</v>
      </c>
      <c r="G395" s="3">
        <v>310</v>
      </c>
      <c r="H395" s="3">
        <v>7</v>
      </c>
      <c r="I395" s="5">
        <f t="shared" si="37"/>
        <v>2.2082018927444796E-2</v>
      </c>
      <c r="J395" s="6">
        <f t="shared" si="38"/>
        <v>22082.018927444795</v>
      </c>
      <c r="K395" s="7">
        <v>1.1499999999999999</v>
      </c>
      <c r="L395" s="3">
        <v>397</v>
      </c>
      <c r="M395" s="3">
        <v>450</v>
      </c>
      <c r="N395" s="3">
        <v>53</v>
      </c>
      <c r="O395" s="5">
        <f t="shared" si="39"/>
        <v>0.88222222222222224</v>
      </c>
      <c r="P395" s="5">
        <f t="shared" si="40"/>
        <v>0.91826196473551625</v>
      </c>
      <c r="Q395" s="5">
        <f t="shared" si="41"/>
        <v>0.97791798107255523</v>
      </c>
      <c r="R395" s="5">
        <f t="shared" si="42"/>
        <v>0.79222222222222216</v>
      </c>
    </row>
    <row r="396" spans="1:18" x14ac:dyDescent="0.25">
      <c r="A396" s="3">
        <v>392</v>
      </c>
      <c r="B396" s="4">
        <v>46261</v>
      </c>
      <c r="C396" s="3" t="s">
        <v>18</v>
      </c>
      <c r="D396" s="3" t="s">
        <v>21</v>
      </c>
      <c r="E396" s="3" t="s">
        <v>34</v>
      </c>
      <c r="F396" s="3">
        <v>344</v>
      </c>
      <c r="G396" s="3">
        <v>342</v>
      </c>
      <c r="H396" s="3">
        <v>2</v>
      </c>
      <c r="I396" s="5">
        <f t="shared" si="37"/>
        <v>5.8139534883720929E-3</v>
      </c>
      <c r="J396" s="6">
        <f t="shared" si="38"/>
        <v>5813.9534883720926</v>
      </c>
      <c r="K396" s="7">
        <v>1.3</v>
      </c>
      <c r="L396" s="3">
        <v>437</v>
      </c>
      <c r="M396" s="3">
        <v>450</v>
      </c>
      <c r="N396" s="3">
        <v>13</v>
      </c>
      <c r="O396" s="5">
        <f t="shared" si="39"/>
        <v>0.97111111111111115</v>
      </c>
      <c r="P396" s="5">
        <f t="shared" si="40"/>
        <v>1.0233409610983981</v>
      </c>
      <c r="Q396" s="5">
        <f t="shared" si="41"/>
        <v>0.9941860465116279</v>
      </c>
      <c r="R396" s="5">
        <f t="shared" si="42"/>
        <v>0.98799999999999999</v>
      </c>
    </row>
    <row r="397" spans="1:18" x14ac:dyDescent="0.25">
      <c r="A397" s="3">
        <v>393</v>
      </c>
      <c r="B397" s="4">
        <v>46261</v>
      </c>
      <c r="C397" s="3" t="s">
        <v>18</v>
      </c>
      <c r="D397" s="3" t="s">
        <v>23</v>
      </c>
      <c r="E397" s="3" t="s">
        <v>31</v>
      </c>
      <c r="F397" s="3">
        <v>259</v>
      </c>
      <c r="G397" s="3">
        <v>256</v>
      </c>
      <c r="H397" s="3">
        <v>3</v>
      </c>
      <c r="I397" s="5">
        <f t="shared" si="37"/>
        <v>1.1583011583011582E-2</v>
      </c>
      <c r="J397" s="6">
        <f t="shared" si="38"/>
        <v>11583.011583011583</v>
      </c>
      <c r="K397" s="7">
        <v>1.55</v>
      </c>
      <c r="L397" s="3">
        <v>433</v>
      </c>
      <c r="M397" s="3">
        <v>450</v>
      </c>
      <c r="N397" s="3">
        <v>17</v>
      </c>
      <c r="O397" s="5">
        <f t="shared" si="39"/>
        <v>0.9622222222222222</v>
      </c>
      <c r="P397" s="5">
        <f t="shared" si="40"/>
        <v>0.92713625866050808</v>
      </c>
      <c r="Q397" s="5">
        <f t="shared" si="41"/>
        <v>0.98841698841698844</v>
      </c>
      <c r="R397" s="5">
        <f t="shared" si="42"/>
        <v>0.88177777777777777</v>
      </c>
    </row>
    <row r="398" spans="1:18" x14ac:dyDescent="0.25">
      <c r="A398" s="3">
        <v>394</v>
      </c>
      <c r="B398" s="4">
        <v>46261</v>
      </c>
      <c r="C398" s="3" t="s">
        <v>25</v>
      </c>
      <c r="D398" s="3" t="s">
        <v>19</v>
      </c>
      <c r="E398" s="3" t="s">
        <v>34</v>
      </c>
      <c r="F398" s="3">
        <v>300</v>
      </c>
      <c r="G398" s="3">
        <v>292</v>
      </c>
      <c r="H398" s="3">
        <v>8</v>
      </c>
      <c r="I398" s="5">
        <f t="shared" si="37"/>
        <v>2.6666666666666668E-2</v>
      </c>
      <c r="J398" s="6">
        <f t="shared" si="38"/>
        <v>26666.666666666668</v>
      </c>
      <c r="K398" s="7">
        <v>1.43</v>
      </c>
      <c r="L398" s="3">
        <v>441</v>
      </c>
      <c r="M398" s="3">
        <v>450</v>
      </c>
      <c r="N398" s="3">
        <v>9</v>
      </c>
      <c r="O398" s="5">
        <f t="shared" si="39"/>
        <v>0.98</v>
      </c>
      <c r="P398" s="5">
        <f t="shared" si="40"/>
        <v>0.97278911564625847</v>
      </c>
      <c r="Q398" s="5">
        <f t="shared" si="41"/>
        <v>0.97333333333333338</v>
      </c>
      <c r="R398" s="5">
        <f t="shared" si="42"/>
        <v>0.92791111111111113</v>
      </c>
    </row>
    <row r="399" spans="1:18" x14ac:dyDescent="0.25">
      <c r="A399" s="3">
        <v>395</v>
      </c>
      <c r="B399" s="4">
        <v>46261</v>
      </c>
      <c r="C399" s="3" t="s">
        <v>25</v>
      </c>
      <c r="D399" s="3" t="s">
        <v>21</v>
      </c>
      <c r="E399" s="3" t="s">
        <v>24</v>
      </c>
      <c r="F399" s="3">
        <v>690</v>
      </c>
      <c r="G399" s="3">
        <v>666</v>
      </c>
      <c r="H399" s="3">
        <v>2</v>
      </c>
      <c r="I399" s="5">
        <f t="shared" si="37"/>
        <v>2.8985507246376812E-3</v>
      </c>
      <c r="J399" s="6">
        <f t="shared" si="38"/>
        <v>2898.550724637681</v>
      </c>
      <c r="K399" s="7">
        <v>0.51</v>
      </c>
      <c r="L399" s="3">
        <v>440</v>
      </c>
      <c r="M399" s="3">
        <v>450</v>
      </c>
      <c r="N399" s="3">
        <v>10</v>
      </c>
      <c r="O399" s="5">
        <f t="shared" si="39"/>
        <v>0.97777777777777775</v>
      </c>
      <c r="P399" s="5">
        <f t="shared" si="40"/>
        <v>0.7997727272727273</v>
      </c>
      <c r="Q399" s="5">
        <f t="shared" si="41"/>
        <v>0.9652173913043478</v>
      </c>
      <c r="R399" s="5">
        <f t="shared" si="42"/>
        <v>0.75480000000000003</v>
      </c>
    </row>
    <row r="400" spans="1:18" x14ac:dyDescent="0.25">
      <c r="A400" s="3">
        <v>396</v>
      </c>
      <c r="B400" s="4">
        <v>46261</v>
      </c>
      <c r="C400" s="3" t="s">
        <v>25</v>
      </c>
      <c r="D400" s="3" t="s">
        <v>23</v>
      </c>
      <c r="E400" s="3" t="s">
        <v>22</v>
      </c>
      <c r="F400" s="3">
        <v>536</v>
      </c>
      <c r="G400" s="3">
        <v>519</v>
      </c>
      <c r="H400" s="3">
        <v>17</v>
      </c>
      <c r="I400" s="5">
        <f t="shared" si="37"/>
        <v>3.1716417910447763E-2</v>
      </c>
      <c r="J400" s="6">
        <f t="shared" si="38"/>
        <v>31716.417910447763</v>
      </c>
      <c r="K400" s="7">
        <v>0.77</v>
      </c>
      <c r="L400" s="3">
        <v>426</v>
      </c>
      <c r="M400" s="3">
        <v>450</v>
      </c>
      <c r="N400" s="3">
        <v>24</v>
      </c>
      <c r="O400" s="5">
        <f t="shared" si="39"/>
        <v>0.94666666666666666</v>
      </c>
      <c r="P400" s="5">
        <f t="shared" si="40"/>
        <v>0.96882629107981222</v>
      </c>
      <c r="Q400" s="5">
        <f t="shared" si="41"/>
        <v>0.96828358208955223</v>
      </c>
      <c r="R400" s="5">
        <f t="shared" si="42"/>
        <v>0.88806666666666656</v>
      </c>
    </row>
    <row r="401" spans="1:18" x14ac:dyDescent="0.25">
      <c r="A401" s="3">
        <v>397</v>
      </c>
      <c r="B401" s="4">
        <v>46261</v>
      </c>
      <c r="C401" s="3" t="s">
        <v>28</v>
      </c>
      <c r="D401" s="3" t="s">
        <v>19</v>
      </c>
      <c r="E401" s="3" t="s">
        <v>26</v>
      </c>
      <c r="F401" s="3">
        <v>499</v>
      </c>
      <c r="G401" s="3">
        <v>478</v>
      </c>
      <c r="H401" s="3">
        <v>4</v>
      </c>
      <c r="I401" s="5">
        <f t="shared" si="37"/>
        <v>8.0160320641282558E-3</v>
      </c>
      <c r="J401" s="6">
        <f t="shared" si="38"/>
        <v>8016.032064128256</v>
      </c>
      <c r="K401" s="7">
        <v>0.75</v>
      </c>
      <c r="L401" s="3">
        <v>391</v>
      </c>
      <c r="M401" s="3">
        <v>450</v>
      </c>
      <c r="N401" s="3">
        <v>59</v>
      </c>
      <c r="O401" s="5">
        <f t="shared" si="39"/>
        <v>0.86888888888888893</v>
      </c>
      <c r="P401" s="5">
        <f t="shared" si="40"/>
        <v>0.95716112531969311</v>
      </c>
      <c r="Q401" s="5">
        <f t="shared" si="41"/>
        <v>0.95791583166332661</v>
      </c>
      <c r="R401" s="5">
        <f t="shared" si="42"/>
        <v>0.79666666666666663</v>
      </c>
    </row>
    <row r="402" spans="1:18" x14ac:dyDescent="0.25">
      <c r="A402" s="3">
        <v>398</v>
      </c>
      <c r="B402" s="4">
        <v>46261</v>
      </c>
      <c r="C402" s="3" t="s">
        <v>28</v>
      </c>
      <c r="D402" s="3" t="s">
        <v>21</v>
      </c>
      <c r="E402" s="3" t="s">
        <v>24</v>
      </c>
      <c r="F402" s="3">
        <v>716</v>
      </c>
      <c r="G402" s="3">
        <v>702</v>
      </c>
      <c r="H402" s="3">
        <v>14</v>
      </c>
      <c r="I402" s="5">
        <f t="shared" si="37"/>
        <v>1.9553072625698324E-2</v>
      </c>
      <c r="J402" s="6">
        <f t="shared" si="38"/>
        <v>19553.072625698325</v>
      </c>
      <c r="K402" s="7">
        <v>0.48</v>
      </c>
      <c r="L402" s="3">
        <v>410</v>
      </c>
      <c r="M402" s="3">
        <v>450</v>
      </c>
      <c r="N402" s="3">
        <v>40</v>
      </c>
      <c r="O402" s="5">
        <f t="shared" si="39"/>
        <v>0.91111111111111109</v>
      </c>
      <c r="P402" s="5">
        <f t="shared" si="40"/>
        <v>0.83824390243902436</v>
      </c>
      <c r="Q402" s="5">
        <f t="shared" si="41"/>
        <v>0.98044692737430172</v>
      </c>
      <c r="R402" s="5">
        <f t="shared" si="42"/>
        <v>0.74880000000000002</v>
      </c>
    </row>
    <row r="403" spans="1:18" x14ac:dyDescent="0.25">
      <c r="A403" s="3">
        <v>399</v>
      </c>
      <c r="B403" s="4">
        <v>46261</v>
      </c>
      <c r="C403" s="3" t="s">
        <v>28</v>
      </c>
      <c r="D403" s="3" t="s">
        <v>23</v>
      </c>
      <c r="E403" s="3" t="s">
        <v>24</v>
      </c>
      <c r="F403" s="3">
        <v>267</v>
      </c>
      <c r="G403" s="3">
        <v>260</v>
      </c>
      <c r="H403" s="3">
        <v>7</v>
      </c>
      <c r="I403" s="5">
        <f t="shared" si="37"/>
        <v>2.6217228464419477E-2</v>
      </c>
      <c r="J403" s="6">
        <f t="shared" si="38"/>
        <v>26217.228464419477</v>
      </c>
      <c r="K403" s="7">
        <v>1.43</v>
      </c>
      <c r="L403" s="3">
        <v>426</v>
      </c>
      <c r="M403" s="3">
        <v>450</v>
      </c>
      <c r="N403" s="3">
        <v>24</v>
      </c>
      <c r="O403" s="5">
        <f t="shared" si="39"/>
        <v>0.94666666666666666</v>
      </c>
      <c r="P403" s="5">
        <f t="shared" si="40"/>
        <v>0.89626760563380281</v>
      </c>
      <c r="Q403" s="5">
        <f t="shared" si="41"/>
        <v>0.97378277153558057</v>
      </c>
      <c r="R403" s="5">
        <f t="shared" si="42"/>
        <v>0.8262222222222223</v>
      </c>
    </row>
    <row r="404" spans="1:18" x14ac:dyDescent="0.25">
      <c r="A404" s="3">
        <v>400</v>
      </c>
      <c r="B404" s="4">
        <v>46261</v>
      </c>
      <c r="C404" s="3" t="s">
        <v>30</v>
      </c>
      <c r="D404" s="3" t="s">
        <v>19</v>
      </c>
      <c r="E404" s="3" t="s">
        <v>34</v>
      </c>
      <c r="F404" s="3">
        <v>439</v>
      </c>
      <c r="G404" s="3">
        <v>422</v>
      </c>
      <c r="H404" s="3">
        <v>17</v>
      </c>
      <c r="I404" s="5">
        <f t="shared" si="37"/>
        <v>3.8724373576309798E-2</v>
      </c>
      <c r="J404" s="6">
        <f t="shared" si="38"/>
        <v>38724.373576309801</v>
      </c>
      <c r="K404" s="7">
        <v>0.81</v>
      </c>
      <c r="L404" s="3">
        <v>420</v>
      </c>
      <c r="M404" s="3">
        <v>450</v>
      </c>
      <c r="N404" s="3">
        <v>30</v>
      </c>
      <c r="O404" s="5">
        <f t="shared" si="39"/>
        <v>0.93333333333333335</v>
      </c>
      <c r="P404" s="5">
        <f t="shared" si="40"/>
        <v>0.84664285714285725</v>
      </c>
      <c r="Q404" s="5">
        <f t="shared" si="41"/>
        <v>0.96127562642369024</v>
      </c>
      <c r="R404" s="5">
        <f t="shared" si="42"/>
        <v>0.75960000000000016</v>
      </c>
    </row>
    <row r="405" spans="1:18" x14ac:dyDescent="0.25">
      <c r="A405" s="3">
        <v>401</v>
      </c>
      <c r="B405" s="4">
        <v>46261</v>
      </c>
      <c r="C405" s="3" t="s">
        <v>30</v>
      </c>
      <c r="D405" s="3" t="s">
        <v>21</v>
      </c>
      <c r="E405" s="3" t="s">
        <v>20</v>
      </c>
      <c r="F405" s="3">
        <v>313</v>
      </c>
      <c r="G405" s="3">
        <v>302</v>
      </c>
      <c r="H405" s="3">
        <v>11</v>
      </c>
      <c r="I405" s="5">
        <f t="shared" si="37"/>
        <v>3.5143769968051117E-2</v>
      </c>
      <c r="J405" s="6">
        <f t="shared" si="38"/>
        <v>35143.769968051114</v>
      </c>
      <c r="K405" s="7">
        <v>1.22</v>
      </c>
      <c r="L405" s="3">
        <v>437</v>
      </c>
      <c r="M405" s="3">
        <v>450</v>
      </c>
      <c r="N405" s="3">
        <v>13</v>
      </c>
      <c r="O405" s="5">
        <f t="shared" si="39"/>
        <v>0.97111111111111115</v>
      </c>
      <c r="P405" s="5">
        <f t="shared" si="40"/>
        <v>0.8738215102974829</v>
      </c>
      <c r="Q405" s="5">
        <f t="shared" si="41"/>
        <v>0.96485623003194887</v>
      </c>
      <c r="R405" s="5">
        <f t="shared" si="42"/>
        <v>0.81875555555555568</v>
      </c>
    </row>
    <row r="406" spans="1:18" x14ac:dyDescent="0.25">
      <c r="A406" s="3">
        <v>402</v>
      </c>
      <c r="B406" s="4">
        <v>46261</v>
      </c>
      <c r="C406" s="3" t="s">
        <v>30</v>
      </c>
      <c r="D406" s="3" t="s">
        <v>23</v>
      </c>
      <c r="E406" s="3" t="s">
        <v>26</v>
      </c>
      <c r="F406" s="3">
        <v>805</v>
      </c>
      <c r="G406" s="3">
        <v>769</v>
      </c>
      <c r="H406" s="3">
        <v>6</v>
      </c>
      <c r="I406" s="5">
        <f t="shared" si="37"/>
        <v>7.4534161490683228E-3</v>
      </c>
      <c r="J406" s="6">
        <f t="shared" si="38"/>
        <v>7453.4161490683227</v>
      </c>
      <c r="K406" s="7">
        <v>0.44</v>
      </c>
      <c r="L406" s="3">
        <v>423</v>
      </c>
      <c r="M406" s="3">
        <v>450</v>
      </c>
      <c r="N406" s="3">
        <v>27</v>
      </c>
      <c r="O406" s="5">
        <f t="shared" si="39"/>
        <v>0.94</v>
      </c>
      <c r="P406" s="5">
        <f t="shared" si="40"/>
        <v>0.83735224586288415</v>
      </c>
      <c r="Q406" s="5">
        <f t="shared" si="41"/>
        <v>0.95527950310559007</v>
      </c>
      <c r="R406" s="5">
        <f t="shared" si="42"/>
        <v>0.75191111111111109</v>
      </c>
    </row>
    <row r="407" spans="1:18" x14ac:dyDescent="0.25">
      <c r="A407" s="3">
        <v>403</v>
      </c>
      <c r="B407" s="4">
        <v>46261</v>
      </c>
      <c r="C407" s="3" t="s">
        <v>33</v>
      </c>
      <c r="D407" s="3" t="s">
        <v>19</v>
      </c>
      <c r="E407" s="3" t="s">
        <v>24</v>
      </c>
      <c r="F407" s="3">
        <v>293</v>
      </c>
      <c r="G407" s="3">
        <v>292</v>
      </c>
      <c r="H407" s="3">
        <v>1</v>
      </c>
      <c r="I407" s="5">
        <f t="shared" si="37"/>
        <v>3.4129692832764505E-3</v>
      </c>
      <c r="J407" s="6">
        <f t="shared" si="38"/>
        <v>3412.9692832764504</v>
      </c>
      <c r="K407" s="7">
        <v>1.37</v>
      </c>
      <c r="L407" s="3">
        <v>430</v>
      </c>
      <c r="M407" s="3">
        <v>450</v>
      </c>
      <c r="N407" s="3">
        <v>20</v>
      </c>
      <c r="O407" s="5">
        <f t="shared" si="39"/>
        <v>0.9555555555555556</v>
      </c>
      <c r="P407" s="5">
        <f t="shared" si="40"/>
        <v>0.93351162790697684</v>
      </c>
      <c r="Q407" s="5">
        <f t="shared" si="41"/>
        <v>0.9965870307167235</v>
      </c>
      <c r="R407" s="5">
        <f t="shared" si="42"/>
        <v>0.88897777777777787</v>
      </c>
    </row>
    <row r="408" spans="1:18" x14ac:dyDescent="0.25">
      <c r="A408" s="3">
        <v>404</v>
      </c>
      <c r="B408" s="4">
        <v>46261</v>
      </c>
      <c r="C408" s="3" t="s">
        <v>33</v>
      </c>
      <c r="D408" s="3" t="s">
        <v>21</v>
      </c>
      <c r="E408" s="3" t="s">
        <v>31</v>
      </c>
      <c r="F408" s="3">
        <v>578</v>
      </c>
      <c r="G408" s="3">
        <v>554</v>
      </c>
      <c r="H408" s="3">
        <v>24</v>
      </c>
      <c r="I408" s="5">
        <f t="shared" si="37"/>
        <v>4.1522491349480967E-2</v>
      </c>
      <c r="J408" s="6">
        <f t="shared" si="38"/>
        <v>41522.491349480966</v>
      </c>
      <c r="K408" s="7">
        <v>0.62</v>
      </c>
      <c r="L408" s="3">
        <v>410</v>
      </c>
      <c r="M408" s="3">
        <v>450</v>
      </c>
      <c r="N408" s="3">
        <v>40</v>
      </c>
      <c r="O408" s="5">
        <f t="shared" si="39"/>
        <v>0.91111111111111109</v>
      </c>
      <c r="P408" s="5">
        <f t="shared" si="40"/>
        <v>0.87404878048780488</v>
      </c>
      <c r="Q408" s="5">
        <f t="shared" si="41"/>
        <v>0.95847750865051906</v>
      </c>
      <c r="R408" s="5">
        <f t="shared" si="42"/>
        <v>0.76328888888888891</v>
      </c>
    </row>
    <row r="409" spans="1:18" x14ac:dyDescent="0.25">
      <c r="A409" s="3">
        <v>405</v>
      </c>
      <c r="B409" s="4">
        <v>46261</v>
      </c>
      <c r="C409" s="3" t="s">
        <v>33</v>
      </c>
      <c r="D409" s="3" t="s">
        <v>23</v>
      </c>
      <c r="E409" s="3" t="s">
        <v>26</v>
      </c>
      <c r="F409" s="3">
        <v>248</v>
      </c>
      <c r="G409" s="3">
        <v>239</v>
      </c>
      <c r="H409" s="3">
        <v>9</v>
      </c>
      <c r="I409" s="5">
        <f t="shared" si="37"/>
        <v>3.6290322580645164E-2</v>
      </c>
      <c r="J409" s="6">
        <f t="shared" si="38"/>
        <v>36290.322580645166</v>
      </c>
      <c r="K409" s="7">
        <v>1.46</v>
      </c>
      <c r="L409" s="3">
        <v>407</v>
      </c>
      <c r="M409" s="3">
        <v>450</v>
      </c>
      <c r="N409" s="3">
        <v>43</v>
      </c>
      <c r="O409" s="5">
        <f t="shared" si="39"/>
        <v>0.9044444444444445</v>
      </c>
      <c r="P409" s="5">
        <f t="shared" si="40"/>
        <v>0.88963144963144958</v>
      </c>
      <c r="Q409" s="5">
        <f t="shared" si="41"/>
        <v>0.96370967741935487</v>
      </c>
      <c r="R409" s="5">
        <f t="shared" si="42"/>
        <v>0.77542222222222223</v>
      </c>
    </row>
    <row r="410" spans="1:18" x14ac:dyDescent="0.25">
      <c r="A410" s="3">
        <v>406</v>
      </c>
      <c r="B410" s="4">
        <v>46262</v>
      </c>
      <c r="C410" s="3" t="s">
        <v>18</v>
      </c>
      <c r="D410" s="3" t="s">
        <v>19</v>
      </c>
      <c r="E410" s="3" t="s">
        <v>32</v>
      </c>
      <c r="F410" s="3">
        <v>232</v>
      </c>
      <c r="G410" s="3">
        <v>222</v>
      </c>
      <c r="H410" s="3">
        <v>10</v>
      </c>
      <c r="I410" s="5">
        <f t="shared" si="37"/>
        <v>4.3103448275862072E-2</v>
      </c>
      <c r="J410" s="6">
        <f t="shared" si="38"/>
        <v>43103.448275862072</v>
      </c>
      <c r="K410" s="7">
        <v>1.76</v>
      </c>
      <c r="L410" s="3">
        <v>435</v>
      </c>
      <c r="M410" s="3">
        <v>450</v>
      </c>
      <c r="N410" s="3">
        <v>15</v>
      </c>
      <c r="O410" s="5">
        <f t="shared" si="39"/>
        <v>0.96666666666666667</v>
      </c>
      <c r="P410" s="5">
        <f t="shared" si="40"/>
        <v>0.93866666666666665</v>
      </c>
      <c r="Q410" s="5">
        <f t="shared" si="41"/>
        <v>0.9568965517241379</v>
      </c>
      <c r="R410" s="5">
        <f t="shared" si="42"/>
        <v>0.86826666666666663</v>
      </c>
    </row>
    <row r="411" spans="1:18" x14ac:dyDescent="0.25">
      <c r="A411" s="3">
        <v>407</v>
      </c>
      <c r="B411" s="4">
        <v>46262</v>
      </c>
      <c r="C411" s="3" t="s">
        <v>18</v>
      </c>
      <c r="D411" s="3" t="s">
        <v>21</v>
      </c>
      <c r="E411" s="3" t="s">
        <v>20</v>
      </c>
      <c r="F411" s="3">
        <v>588</v>
      </c>
      <c r="G411" s="3">
        <v>584</v>
      </c>
      <c r="H411" s="3">
        <v>4</v>
      </c>
      <c r="I411" s="5">
        <f t="shared" si="37"/>
        <v>6.8027210884353739E-3</v>
      </c>
      <c r="J411" s="6">
        <f t="shared" si="38"/>
        <v>6802.7210884353735</v>
      </c>
      <c r="K411" s="7">
        <v>0.71</v>
      </c>
      <c r="L411" s="3">
        <v>417</v>
      </c>
      <c r="M411" s="3">
        <v>450</v>
      </c>
      <c r="N411" s="3">
        <v>33</v>
      </c>
      <c r="O411" s="5">
        <f t="shared" si="39"/>
        <v>0.92666666666666664</v>
      </c>
      <c r="P411" s="5">
        <f t="shared" si="40"/>
        <v>1.0011510791366907</v>
      </c>
      <c r="Q411" s="5">
        <f t="shared" si="41"/>
        <v>0.99319727891156462</v>
      </c>
      <c r="R411" s="5">
        <f t="shared" si="42"/>
        <v>0.92142222222222214</v>
      </c>
    </row>
    <row r="412" spans="1:18" x14ac:dyDescent="0.25">
      <c r="A412" s="3">
        <v>408</v>
      </c>
      <c r="B412" s="4">
        <v>46262</v>
      </c>
      <c r="C412" s="3" t="s">
        <v>18</v>
      </c>
      <c r="D412" s="3" t="s">
        <v>23</v>
      </c>
      <c r="E412" s="3" t="s">
        <v>29</v>
      </c>
      <c r="F412" s="3">
        <v>321</v>
      </c>
      <c r="G412" s="3">
        <v>313</v>
      </c>
      <c r="H412" s="3">
        <v>8</v>
      </c>
      <c r="I412" s="5">
        <f t="shared" si="37"/>
        <v>2.4922118380062305E-2</v>
      </c>
      <c r="J412" s="6">
        <f t="shared" si="38"/>
        <v>24922.118380062304</v>
      </c>
      <c r="K412" s="7">
        <v>1.29</v>
      </c>
      <c r="L412" s="3">
        <v>444</v>
      </c>
      <c r="M412" s="3">
        <v>450</v>
      </c>
      <c r="N412" s="3">
        <v>6</v>
      </c>
      <c r="O412" s="5">
        <f t="shared" si="39"/>
        <v>0.98666666666666669</v>
      </c>
      <c r="P412" s="5">
        <f t="shared" si="40"/>
        <v>0.93263513513513518</v>
      </c>
      <c r="Q412" s="5">
        <f t="shared" si="41"/>
        <v>0.97507788161993769</v>
      </c>
      <c r="R412" s="5">
        <f t="shared" si="42"/>
        <v>0.89726666666666666</v>
      </c>
    </row>
    <row r="413" spans="1:18" x14ac:dyDescent="0.25">
      <c r="A413" s="3">
        <v>409</v>
      </c>
      <c r="B413" s="4">
        <v>46262</v>
      </c>
      <c r="C413" s="3" t="s">
        <v>25</v>
      </c>
      <c r="D413" s="3" t="s">
        <v>19</v>
      </c>
      <c r="E413" s="3" t="s">
        <v>26</v>
      </c>
      <c r="F413" s="3">
        <v>260</v>
      </c>
      <c r="G413" s="3">
        <v>257</v>
      </c>
      <c r="H413" s="3">
        <v>3</v>
      </c>
      <c r="I413" s="5">
        <f t="shared" si="37"/>
        <v>1.1538461538461539E-2</v>
      </c>
      <c r="J413" s="6">
        <f t="shared" si="38"/>
        <v>11538.461538461539</v>
      </c>
      <c r="K413" s="7">
        <v>1.25</v>
      </c>
      <c r="L413" s="3">
        <v>398</v>
      </c>
      <c r="M413" s="3">
        <v>450</v>
      </c>
      <c r="N413" s="3">
        <v>52</v>
      </c>
      <c r="O413" s="5">
        <f t="shared" si="39"/>
        <v>0.88444444444444448</v>
      </c>
      <c r="P413" s="5">
        <f t="shared" si="40"/>
        <v>0.81658291457286436</v>
      </c>
      <c r="Q413" s="5">
        <f t="shared" si="41"/>
        <v>0.9884615384615385</v>
      </c>
      <c r="R413" s="5">
        <f t="shared" si="42"/>
        <v>0.71388888888888902</v>
      </c>
    </row>
    <row r="414" spans="1:18" x14ac:dyDescent="0.25">
      <c r="A414" s="3">
        <v>410</v>
      </c>
      <c r="B414" s="4">
        <v>46262</v>
      </c>
      <c r="C414" s="3" t="s">
        <v>25</v>
      </c>
      <c r="D414" s="3" t="s">
        <v>21</v>
      </c>
      <c r="E414" s="3" t="s">
        <v>27</v>
      </c>
      <c r="F414" s="3">
        <v>518</v>
      </c>
      <c r="G414" s="3">
        <v>511</v>
      </c>
      <c r="H414" s="3">
        <v>7</v>
      </c>
      <c r="I414" s="5">
        <f t="shared" si="37"/>
        <v>1.3513513513513514E-2</v>
      </c>
      <c r="J414" s="6">
        <f t="shared" si="38"/>
        <v>13513.513513513515</v>
      </c>
      <c r="K414" s="7">
        <v>0.74</v>
      </c>
      <c r="L414" s="3">
        <v>431</v>
      </c>
      <c r="M414" s="3">
        <v>450</v>
      </c>
      <c r="N414" s="3">
        <v>19</v>
      </c>
      <c r="O414" s="5">
        <f t="shared" si="39"/>
        <v>0.95777777777777773</v>
      </c>
      <c r="P414" s="5">
        <f t="shared" si="40"/>
        <v>0.88937354988399075</v>
      </c>
      <c r="Q414" s="5">
        <f t="shared" si="41"/>
        <v>0.98648648648648651</v>
      </c>
      <c r="R414" s="5">
        <f t="shared" si="42"/>
        <v>0.84031111111111112</v>
      </c>
    </row>
    <row r="415" spans="1:18" x14ac:dyDescent="0.25">
      <c r="A415" s="3">
        <v>411</v>
      </c>
      <c r="B415" s="4">
        <v>46262</v>
      </c>
      <c r="C415" s="3" t="s">
        <v>25</v>
      </c>
      <c r="D415" s="3" t="s">
        <v>23</v>
      </c>
      <c r="E415" s="3" t="s">
        <v>24</v>
      </c>
      <c r="F415" s="3">
        <v>219</v>
      </c>
      <c r="G415" s="3">
        <v>214</v>
      </c>
      <c r="H415" s="3">
        <v>5</v>
      </c>
      <c r="I415" s="5">
        <f t="shared" si="37"/>
        <v>2.2831050228310501E-2</v>
      </c>
      <c r="J415" s="6">
        <f t="shared" si="38"/>
        <v>22831.050228310502</v>
      </c>
      <c r="K415" s="7">
        <v>1.63</v>
      </c>
      <c r="L415" s="3">
        <v>409</v>
      </c>
      <c r="M415" s="3">
        <v>450</v>
      </c>
      <c r="N415" s="3">
        <v>41</v>
      </c>
      <c r="O415" s="5">
        <f t="shared" si="39"/>
        <v>0.90888888888888886</v>
      </c>
      <c r="P415" s="5">
        <f t="shared" si="40"/>
        <v>0.87278728606356959</v>
      </c>
      <c r="Q415" s="5">
        <f t="shared" si="41"/>
        <v>0.97716894977168944</v>
      </c>
      <c r="R415" s="5">
        <f t="shared" si="42"/>
        <v>0.77515555555555538</v>
      </c>
    </row>
    <row r="416" spans="1:18" x14ac:dyDescent="0.25">
      <c r="A416" s="3">
        <v>412</v>
      </c>
      <c r="B416" s="4">
        <v>46262</v>
      </c>
      <c r="C416" s="3" t="s">
        <v>28</v>
      </c>
      <c r="D416" s="3" t="s">
        <v>19</v>
      </c>
      <c r="E416" s="3" t="s">
        <v>27</v>
      </c>
      <c r="F416" s="3">
        <v>415</v>
      </c>
      <c r="G416" s="3">
        <v>406</v>
      </c>
      <c r="H416" s="3">
        <v>9</v>
      </c>
      <c r="I416" s="5">
        <f t="shared" si="37"/>
        <v>2.1686746987951807E-2</v>
      </c>
      <c r="J416" s="6">
        <f t="shared" si="38"/>
        <v>21686.746987951807</v>
      </c>
      <c r="K416" s="7">
        <v>0.94</v>
      </c>
      <c r="L416" s="3">
        <v>406</v>
      </c>
      <c r="M416" s="3">
        <v>450</v>
      </c>
      <c r="N416" s="3">
        <v>44</v>
      </c>
      <c r="O416" s="5">
        <f t="shared" si="39"/>
        <v>0.90222222222222226</v>
      </c>
      <c r="P416" s="5">
        <f t="shared" si="40"/>
        <v>0.96083743842364522</v>
      </c>
      <c r="Q416" s="5">
        <f t="shared" si="41"/>
        <v>0.97831325301204819</v>
      </c>
      <c r="R416" s="5">
        <f t="shared" si="42"/>
        <v>0.84808888888888878</v>
      </c>
    </row>
    <row r="417" spans="1:18" x14ac:dyDescent="0.25">
      <c r="A417" s="3">
        <v>413</v>
      </c>
      <c r="B417" s="4">
        <v>46262</v>
      </c>
      <c r="C417" s="3" t="s">
        <v>28</v>
      </c>
      <c r="D417" s="3" t="s">
        <v>21</v>
      </c>
      <c r="E417" s="3" t="s">
        <v>20</v>
      </c>
      <c r="F417" s="3">
        <v>1197</v>
      </c>
      <c r="G417" s="3">
        <v>1152</v>
      </c>
      <c r="H417" s="3">
        <v>6</v>
      </c>
      <c r="I417" s="5">
        <f t="shared" si="37"/>
        <v>5.0125313283208017E-3</v>
      </c>
      <c r="J417" s="6">
        <f t="shared" si="38"/>
        <v>5012.5313283208015</v>
      </c>
      <c r="K417" s="7">
        <v>0.37</v>
      </c>
      <c r="L417" s="3">
        <v>434</v>
      </c>
      <c r="M417" s="3">
        <v>450</v>
      </c>
      <c r="N417" s="3">
        <v>16</v>
      </c>
      <c r="O417" s="5">
        <f t="shared" si="39"/>
        <v>0.96444444444444444</v>
      </c>
      <c r="P417" s="5">
        <f t="shared" si="40"/>
        <v>1.020483870967742</v>
      </c>
      <c r="Q417" s="5">
        <f t="shared" si="41"/>
        <v>0.96240601503759393</v>
      </c>
      <c r="R417" s="5">
        <f t="shared" si="42"/>
        <v>0.94719999999999993</v>
      </c>
    </row>
    <row r="418" spans="1:18" x14ac:dyDescent="0.25">
      <c r="A418" s="3">
        <v>414</v>
      </c>
      <c r="B418" s="4">
        <v>46262</v>
      </c>
      <c r="C418" s="3" t="s">
        <v>28</v>
      </c>
      <c r="D418" s="3" t="s">
        <v>23</v>
      </c>
      <c r="E418" s="3" t="s">
        <v>22</v>
      </c>
      <c r="F418" s="3">
        <v>316</v>
      </c>
      <c r="G418" s="3">
        <v>311</v>
      </c>
      <c r="H418" s="3">
        <v>5</v>
      </c>
      <c r="I418" s="5">
        <f t="shared" si="37"/>
        <v>1.5822784810126583E-2</v>
      </c>
      <c r="J418" s="6">
        <f t="shared" si="38"/>
        <v>15822.784810126583</v>
      </c>
      <c r="K418" s="7">
        <v>1.4</v>
      </c>
      <c r="L418" s="3">
        <v>440</v>
      </c>
      <c r="M418" s="3">
        <v>450</v>
      </c>
      <c r="N418" s="3">
        <v>10</v>
      </c>
      <c r="O418" s="5">
        <f t="shared" si="39"/>
        <v>0.97777777777777775</v>
      </c>
      <c r="P418" s="5">
        <f t="shared" si="40"/>
        <v>1.0054545454545454</v>
      </c>
      <c r="Q418" s="5">
        <f t="shared" si="41"/>
        <v>0.98417721518987344</v>
      </c>
      <c r="R418" s="5">
        <f t="shared" si="42"/>
        <v>0.9675555555555555</v>
      </c>
    </row>
    <row r="419" spans="1:18" x14ac:dyDescent="0.25">
      <c r="A419" s="3">
        <v>415</v>
      </c>
      <c r="B419" s="4">
        <v>46262</v>
      </c>
      <c r="C419" s="3" t="s">
        <v>30</v>
      </c>
      <c r="D419" s="3" t="s">
        <v>19</v>
      </c>
      <c r="E419" s="3" t="s">
        <v>27</v>
      </c>
      <c r="F419" s="3">
        <v>294</v>
      </c>
      <c r="G419" s="3">
        <v>290</v>
      </c>
      <c r="H419" s="3">
        <v>4</v>
      </c>
      <c r="I419" s="5">
        <f t="shared" si="37"/>
        <v>1.3605442176870748E-2</v>
      </c>
      <c r="J419" s="6">
        <f t="shared" si="38"/>
        <v>13605.442176870747</v>
      </c>
      <c r="K419" s="7">
        <v>1.24</v>
      </c>
      <c r="L419" s="3">
        <v>392</v>
      </c>
      <c r="M419" s="3">
        <v>450</v>
      </c>
      <c r="N419" s="3">
        <v>58</v>
      </c>
      <c r="O419" s="5">
        <f t="shared" si="39"/>
        <v>0.87111111111111106</v>
      </c>
      <c r="P419" s="5">
        <f t="shared" si="40"/>
        <v>0.93</v>
      </c>
      <c r="Q419" s="5">
        <f t="shared" si="41"/>
        <v>0.98639455782312924</v>
      </c>
      <c r="R419" s="5">
        <f t="shared" si="42"/>
        <v>0.79911111111111111</v>
      </c>
    </row>
    <row r="420" spans="1:18" x14ac:dyDescent="0.25">
      <c r="A420" s="3">
        <v>416</v>
      </c>
      <c r="B420" s="4">
        <v>46262</v>
      </c>
      <c r="C420" s="3" t="s">
        <v>30</v>
      </c>
      <c r="D420" s="3" t="s">
        <v>21</v>
      </c>
      <c r="E420" s="3" t="s">
        <v>24</v>
      </c>
      <c r="F420" s="3">
        <v>609</v>
      </c>
      <c r="G420" s="3">
        <v>587</v>
      </c>
      <c r="H420" s="3">
        <v>22</v>
      </c>
      <c r="I420" s="5">
        <f t="shared" si="37"/>
        <v>3.6124794745484398E-2</v>
      </c>
      <c r="J420" s="6">
        <f t="shared" si="38"/>
        <v>36124.794745484396</v>
      </c>
      <c r="K420" s="7">
        <v>0.67</v>
      </c>
      <c r="L420" s="3">
        <v>432</v>
      </c>
      <c r="M420" s="3">
        <v>450</v>
      </c>
      <c r="N420" s="3">
        <v>18</v>
      </c>
      <c r="O420" s="5">
        <f t="shared" si="39"/>
        <v>0.96</v>
      </c>
      <c r="P420" s="5">
        <f t="shared" si="40"/>
        <v>0.94451388888888899</v>
      </c>
      <c r="Q420" s="5">
        <f t="shared" si="41"/>
        <v>0.96387520525451564</v>
      </c>
      <c r="R420" s="5">
        <f t="shared" si="42"/>
        <v>0.87397777777777785</v>
      </c>
    </row>
    <row r="421" spans="1:18" x14ac:dyDescent="0.25">
      <c r="A421" s="3">
        <v>417</v>
      </c>
      <c r="B421" s="4">
        <v>46262</v>
      </c>
      <c r="C421" s="3" t="s">
        <v>30</v>
      </c>
      <c r="D421" s="3" t="s">
        <v>23</v>
      </c>
      <c r="E421" s="3" t="s">
        <v>31</v>
      </c>
      <c r="F421" s="3">
        <v>260</v>
      </c>
      <c r="G421" s="3">
        <v>257</v>
      </c>
      <c r="H421" s="3">
        <v>3</v>
      </c>
      <c r="I421" s="5">
        <f t="shared" si="37"/>
        <v>1.1538461538461539E-2</v>
      </c>
      <c r="J421" s="6">
        <f t="shared" si="38"/>
        <v>11538.461538461539</v>
      </c>
      <c r="K421" s="7">
        <v>1.45</v>
      </c>
      <c r="L421" s="3">
        <v>439</v>
      </c>
      <c r="M421" s="3">
        <v>450</v>
      </c>
      <c r="N421" s="3">
        <v>11</v>
      </c>
      <c r="O421" s="5">
        <f t="shared" si="39"/>
        <v>0.97555555555555551</v>
      </c>
      <c r="P421" s="5">
        <f t="shared" si="40"/>
        <v>0.85876993166287019</v>
      </c>
      <c r="Q421" s="5">
        <f t="shared" si="41"/>
        <v>0.9884615384615385</v>
      </c>
      <c r="R421" s="5">
        <f t="shared" si="42"/>
        <v>0.82811111111111113</v>
      </c>
    </row>
    <row r="422" spans="1:18" x14ac:dyDescent="0.25">
      <c r="A422" s="3">
        <v>418</v>
      </c>
      <c r="B422" s="4">
        <v>46262</v>
      </c>
      <c r="C422" s="3" t="s">
        <v>33</v>
      </c>
      <c r="D422" s="3" t="s">
        <v>19</v>
      </c>
      <c r="E422" s="3" t="s">
        <v>31</v>
      </c>
      <c r="F422" s="3">
        <v>399</v>
      </c>
      <c r="G422" s="3">
        <v>383</v>
      </c>
      <c r="H422" s="3">
        <v>16</v>
      </c>
      <c r="I422" s="5">
        <f t="shared" si="37"/>
        <v>4.0100250626566414E-2</v>
      </c>
      <c r="J422" s="6">
        <f t="shared" si="38"/>
        <v>40100.250626566412</v>
      </c>
      <c r="K422" s="7">
        <v>1.01</v>
      </c>
      <c r="L422" s="3">
        <v>400</v>
      </c>
      <c r="M422" s="3">
        <v>450</v>
      </c>
      <c r="N422" s="3">
        <v>50</v>
      </c>
      <c r="O422" s="5">
        <f t="shared" si="39"/>
        <v>0.88888888888888884</v>
      </c>
      <c r="P422" s="5">
        <f t="shared" si="40"/>
        <v>1.0074750000000001</v>
      </c>
      <c r="Q422" s="5">
        <f t="shared" si="41"/>
        <v>0.95989974937343359</v>
      </c>
      <c r="R422" s="5">
        <f t="shared" si="42"/>
        <v>0.85962222222222229</v>
      </c>
    </row>
    <row r="423" spans="1:18" x14ac:dyDescent="0.25">
      <c r="A423" s="3">
        <v>419</v>
      </c>
      <c r="B423" s="4">
        <v>46262</v>
      </c>
      <c r="C423" s="3" t="s">
        <v>33</v>
      </c>
      <c r="D423" s="3" t="s">
        <v>21</v>
      </c>
      <c r="E423" s="3" t="s">
        <v>24</v>
      </c>
      <c r="F423" s="3">
        <v>243</v>
      </c>
      <c r="G423" s="3">
        <v>232</v>
      </c>
      <c r="H423" s="3">
        <v>11</v>
      </c>
      <c r="I423" s="5">
        <f t="shared" si="37"/>
        <v>4.5267489711934158E-2</v>
      </c>
      <c r="J423" s="6">
        <f t="shared" si="38"/>
        <v>45267.489711934155</v>
      </c>
      <c r="K423" s="7">
        <v>1.68</v>
      </c>
      <c r="L423" s="3">
        <v>412</v>
      </c>
      <c r="M423" s="3">
        <v>450</v>
      </c>
      <c r="N423" s="3">
        <v>38</v>
      </c>
      <c r="O423" s="5">
        <f t="shared" si="39"/>
        <v>0.91555555555555557</v>
      </c>
      <c r="P423" s="5">
        <f t="shared" si="40"/>
        <v>0.99087378640776702</v>
      </c>
      <c r="Q423" s="5">
        <f t="shared" si="41"/>
        <v>0.95473251028806583</v>
      </c>
      <c r="R423" s="5">
        <f t="shared" si="42"/>
        <v>0.86613333333333331</v>
      </c>
    </row>
    <row r="424" spans="1:18" x14ac:dyDescent="0.25">
      <c r="A424" s="3">
        <v>420</v>
      </c>
      <c r="B424" s="4">
        <v>46262</v>
      </c>
      <c r="C424" s="3" t="s">
        <v>33</v>
      </c>
      <c r="D424" s="3" t="s">
        <v>23</v>
      </c>
      <c r="E424" s="3" t="s">
        <v>34</v>
      </c>
      <c r="F424" s="3">
        <v>306</v>
      </c>
      <c r="G424" s="3">
        <v>300</v>
      </c>
      <c r="H424" s="3">
        <v>6</v>
      </c>
      <c r="I424" s="5">
        <f t="shared" si="37"/>
        <v>1.9607843137254902E-2</v>
      </c>
      <c r="J424" s="6">
        <f t="shared" si="38"/>
        <v>19607.843137254902</v>
      </c>
      <c r="K424" s="7">
        <v>1.02</v>
      </c>
      <c r="L424" s="3">
        <v>390</v>
      </c>
      <c r="M424" s="3">
        <v>450</v>
      </c>
      <c r="N424" s="3">
        <v>60</v>
      </c>
      <c r="O424" s="5">
        <f t="shared" si="39"/>
        <v>0.8666666666666667</v>
      </c>
      <c r="P424" s="5">
        <f t="shared" si="40"/>
        <v>0.80030769230769228</v>
      </c>
      <c r="Q424" s="5">
        <f t="shared" si="41"/>
        <v>0.98039215686274506</v>
      </c>
      <c r="R424" s="5">
        <f t="shared" si="42"/>
        <v>0.67999999999999994</v>
      </c>
    </row>
    <row r="425" spans="1:18" x14ac:dyDescent="0.25">
      <c r="A425" s="3">
        <v>421</v>
      </c>
      <c r="B425" s="4">
        <v>46263</v>
      </c>
      <c r="C425" s="3" t="s">
        <v>18</v>
      </c>
      <c r="D425" s="3" t="s">
        <v>19</v>
      </c>
      <c r="E425" s="3" t="s">
        <v>20</v>
      </c>
      <c r="F425" s="3">
        <v>506</v>
      </c>
      <c r="G425" s="3">
        <v>484</v>
      </c>
      <c r="H425" s="3">
        <v>4</v>
      </c>
      <c r="I425" s="5">
        <f t="shared" si="37"/>
        <v>7.9051383399209481E-3</v>
      </c>
      <c r="J425" s="6">
        <f t="shared" si="38"/>
        <v>7905.1383399209481</v>
      </c>
      <c r="K425" s="7">
        <v>0.72</v>
      </c>
      <c r="L425" s="3">
        <v>443</v>
      </c>
      <c r="M425" s="3">
        <v>450</v>
      </c>
      <c r="N425" s="3">
        <v>7</v>
      </c>
      <c r="O425" s="5">
        <f t="shared" si="39"/>
        <v>0.98444444444444446</v>
      </c>
      <c r="P425" s="5">
        <f t="shared" si="40"/>
        <v>0.82239277652370202</v>
      </c>
      <c r="Q425" s="5">
        <f t="shared" si="41"/>
        <v>0.95652173913043481</v>
      </c>
      <c r="R425" s="5">
        <f t="shared" si="42"/>
        <v>0.77439999999999998</v>
      </c>
    </row>
    <row r="426" spans="1:18" x14ac:dyDescent="0.25">
      <c r="A426" s="3">
        <v>422</v>
      </c>
      <c r="B426" s="4">
        <v>46263</v>
      </c>
      <c r="C426" s="3" t="s">
        <v>18</v>
      </c>
      <c r="D426" s="3" t="s">
        <v>21</v>
      </c>
      <c r="E426" s="3" t="s">
        <v>34</v>
      </c>
      <c r="F426" s="3">
        <v>680</v>
      </c>
      <c r="G426" s="3">
        <v>660</v>
      </c>
      <c r="H426" s="3">
        <v>6</v>
      </c>
      <c r="I426" s="5">
        <f t="shared" si="37"/>
        <v>8.8235294117647058E-3</v>
      </c>
      <c r="J426" s="6">
        <f t="shared" si="38"/>
        <v>8823.5294117647063</v>
      </c>
      <c r="K426" s="7">
        <v>0.63</v>
      </c>
      <c r="L426" s="3">
        <v>442</v>
      </c>
      <c r="M426" s="3">
        <v>450</v>
      </c>
      <c r="N426" s="3">
        <v>8</v>
      </c>
      <c r="O426" s="5">
        <f t="shared" si="39"/>
        <v>0.98222222222222222</v>
      </c>
      <c r="P426" s="5">
        <f t="shared" si="40"/>
        <v>0.96923076923076923</v>
      </c>
      <c r="Q426" s="5">
        <f t="shared" si="41"/>
        <v>0.97058823529411764</v>
      </c>
      <c r="R426" s="5">
        <f t="shared" si="42"/>
        <v>0.92399999999999993</v>
      </c>
    </row>
    <row r="427" spans="1:18" x14ac:dyDescent="0.25">
      <c r="A427" s="3">
        <v>423</v>
      </c>
      <c r="B427" s="4">
        <v>46263</v>
      </c>
      <c r="C427" s="3" t="s">
        <v>18</v>
      </c>
      <c r="D427" s="3" t="s">
        <v>23</v>
      </c>
      <c r="E427" s="3" t="s">
        <v>24</v>
      </c>
      <c r="F427" s="3">
        <v>251</v>
      </c>
      <c r="G427" s="3">
        <v>243</v>
      </c>
      <c r="H427" s="3">
        <v>8</v>
      </c>
      <c r="I427" s="5">
        <f t="shared" si="37"/>
        <v>3.1872509960159362E-2</v>
      </c>
      <c r="J427" s="6">
        <f t="shared" si="38"/>
        <v>31872.509960159361</v>
      </c>
      <c r="K427" s="7">
        <v>1.33</v>
      </c>
      <c r="L427" s="3">
        <v>387</v>
      </c>
      <c r="M427" s="3">
        <v>450</v>
      </c>
      <c r="N427" s="3">
        <v>63</v>
      </c>
      <c r="O427" s="5">
        <f t="shared" si="39"/>
        <v>0.86</v>
      </c>
      <c r="P427" s="5">
        <f t="shared" si="40"/>
        <v>0.86260981912144719</v>
      </c>
      <c r="Q427" s="5">
        <f t="shared" si="41"/>
        <v>0.96812749003984067</v>
      </c>
      <c r="R427" s="5">
        <f t="shared" si="42"/>
        <v>0.71820000000000006</v>
      </c>
    </row>
    <row r="428" spans="1:18" x14ac:dyDescent="0.25">
      <c r="A428" s="3">
        <v>424</v>
      </c>
      <c r="B428" s="4">
        <v>46263</v>
      </c>
      <c r="C428" s="3" t="s">
        <v>25</v>
      </c>
      <c r="D428" s="3" t="s">
        <v>19</v>
      </c>
      <c r="E428" s="3" t="s">
        <v>32</v>
      </c>
      <c r="F428" s="3">
        <v>612</v>
      </c>
      <c r="G428" s="3">
        <v>604</v>
      </c>
      <c r="H428" s="3">
        <v>8</v>
      </c>
      <c r="I428" s="5">
        <f t="shared" si="37"/>
        <v>1.3071895424836602E-2</v>
      </c>
      <c r="J428" s="6">
        <f t="shared" si="38"/>
        <v>13071.895424836601</v>
      </c>
      <c r="K428" s="7">
        <v>0.62</v>
      </c>
      <c r="L428" s="3">
        <v>444</v>
      </c>
      <c r="M428" s="3">
        <v>450</v>
      </c>
      <c r="N428" s="3">
        <v>6</v>
      </c>
      <c r="O428" s="5">
        <f t="shared" si="39"/>
        <v>0.98666666666666669</v>
      </c>
      <c r="P428" s="5">
        <f t="shared" si="40"/>
        <v>0.85459459459459464</v>
      </c>
      <c r="Q428" s="5">
        <f t="shared" si="41"/>
        <v>0.98692810457516345</v>
      </c>
      <c r="R428" s="5">
        <f t="shared" si="42"/>
        <v>0.83217777777777791</v>
      </c>
    </row>
    <row r="429" spans="1:18" x14ac:dyDescent="0.25">
      <c r="A429" s="3">
        <v>425</v>
      </c>
      <c r="B429" s="4">
        <v>46263</v>
      </c>
      <c r="C429" s="3" t="s">
        <v>25</v>
      </c>
      <c r="D429" s="3" t="s">
        <v>21</v>
      </c>
      <c r="E429" s="3" t="s">
        <v>24</v>
      </c>
      <c r="F429" s="3">
        <v>265</v>
      </c>
      <c r="G429" s="3">
        <v>259</v>
      </c>
      <c r="H429" s="3">
        <v>6</v>
      </c>
      <c r="I429" s="5">
        <f t="shared" si="37"/>
        <v>2.2641509433962263E-2</v>
      </c>
      <c r="J429" s="6">
        <f t="shared" si="38"/>
        <v>22641.509433962263</v>
      </c>
      <c r="K429" s="7">
        <v>1.38</v>
      </c>
      <c r="L429" s="3">
        <v>388</v>
      </c>
      <c r="M429" s="3">
        <v>450</v>
      </c>
      <c r="N429" s="3">
        <v>62</v>
      </c>
      <c r="O429" s="5">
        <f t="shared" si="39"/>
        <v>0.86222222222222222</v>
      </c>
      <c r="P429" s="5">
        <f t="shared" si="40"/>
        <v>0.94252577319587627</v>
      </c>
      <c r="Q429" s="5">
        <f t="shared" si="41"/>
        <v>0.97735849056603774</v>
      </c>
      <c r="R429" s="5">
        <f t="shared" si="42"/>
        <v>0.79426666666666668</v>
      </c>
    </row>
    <row r="430" spans="1:18" x14ac:dyDescent="0.25">
      <c r="A430" s="3">
        <v>426</v>
      </c>
      <c r="B430" s="4">
        <v>46263</v>
      </c>
      <c r="C430" s="3" t="s">
        <v>25</v>
      </c>
      <c r="D430" s="3" t="s">
        <v>23</v>
      </c>
      <c r="E430" s="3" t="s">
        <v>29</v>
      </c>
      <c r="F430" s="3">
        <v>325</v>
      </c>
      <c r="G430" s="3">
        <v>320</v>
      </c>
      <c r="H430" s="3">
        <v>5</v>
      </c>
      <c r="I430" s="5">
        <f t="shared" si="37"/>
        <v>1.5384615384615385E-2</v>
      </c>
      <c r="J430" s="6">
        <f t="shared" si="38"/>
        <v>15384.615384615385</v>
      </c>
      <c r="K430" s="7">
        <v>1.27</v>
      </c>
      <c r="L430" s="3">
        <v>436</v>
      </c>
      <c r="M430" s="3">
        <v>450</v>
      </c>
      <c r="N430" s="3">
        <v>14</v>
      </c>
      <c r="O430" s="5">
        <f t="shared" si="39"/>
        <v>0.96888888888888891</v>
      </c>
      <c r="P430" s="5">
        <f t="shared" si="40"/>
        <v>0.94667431192660545</v>
      </c>
      <c r="Q430" s="5">
        <f t="shared" si="41"/>
        <v>0.98461538461538467</v>
      </c>
      <c r="R430" s="5">
        <f t="shared" si="42"/>
        <v>0.90311111111111109</v>
      </c>
    </row>
    <row r="431" spans="1:18" x14ac:dyDescent="0.25">
      <c r="A431" s="3">
        <v>427</v>
      </c>
      <c r="B431" s="4">
        <v>46263</v>
      </c>
      <c r="C431" s="3" t="s">
        <v>28</v>
      </c>
      <c r="D431" s="3" t="s">
        <v>19</v>
      </c>
      <c r="E431" s="3" t="s">
        <v>29</v>
      </c>
      <c r="F431" s="3">
        <v>477</v>
      </c>
      <c r="G431" s="3">
        <v>469</v>
      </c>
      <c r="H431" s="3">
        <v>8</v>
      </c>
      <c r="I431" s="5">
        <f t="shared" si="37"/>
        <v>1.6771488469601678E-2</v>
      </c>
      <c r="J431" s="6">
        <f t="shared" si="38"/>
        <v>16771.488469601678</v>
      </c>
      <c r="K431" s="7">
        <v>0.75</v>
      </c>
      <c r="L431" s="3">
        <v>436</v>
      </c>
      <c r="M431" s="3">
        <v>450</v>
      </c>
      <c r="N431" s="3">
        <v>14</v>
      </c>
      <c r="O431" s="5">
        <f t="shared" si="39"/>
        <v>0.96888888888888891</v>
      </c>
      <c r="P431" s="5">
        <f t="shared" si="40"/>
        <v>0.8205275229357798</v>
      </c>
      <c r="Q431" s="5">
        <f t="shared" si="41"/>
        <v>0.98322851153039836</v>
      </c>
      <c r="R431" s="5">
        <f t="shared" si="42"/>
        <v>0.78166666666666673</v>
      </c>
    </row>
    <row r="432" spans="1:18" x14ac:dyDescent="0.25">
      <c r="A432" s="3">
        <v>428</v>
      </c>
      <c r="B432" s="4">
        <v>46263</v>
      </c>
      <c r="C432" s="3" t="s">
        <v>28</v>
      </c>
      <c r="D432" s="3" t="s">
        <v>21</v>
      </c>
      <c r="E432" s="3" t="s">
        <v>34</v>
      </c>
      <c r="F432" s="3">
        <v>395</v>
      </c>
      <c r="G432" s="3">
        <v>391</v>
      </c>
      <c r="H432" s="3">
        <v>4</v>
      </c>
      <c r="I432" s="5">
        <f t="shared" si="37"/>
        <v>1.0126582278481013E-2</v>
      </c>
      <c r="J432" s="6">
        <f t="shared" si="38"/>
        <v>10126.582278481013</v>
      </c>
      <c r="K432" s="7">
        <v>0.83</v>
      </c>
      <c r="L432" s="3">
        <v>397</v>
      </c>
      <c r="M432" s="3">
        <v>450</v>
      </c>
      <c r="N432" s="3">
        <v>53</v>
      </c>
      <c r="O432" s="5">
        <f t="shared" si="39"/>
        <v>0.88222222222222224</v>
      </c>
      <c r="P432" s="5">
        <f t="shared" si="40"/>
        <v>0.82581863979848857</v>
      </c>
      <c r="Q432" s="5">
        <f t="shared" si="41"/>
        <v>0.98987341772151893</v>
      </c>
      <c r="R432" s="5">
        <f t="shared" si="42"/>
        <v>0.7211777777777777</v>
      </c>
    </row>
    <row r="433" spans="1:18" x14ac:dyDescent="0.25">
      <c r="A433" s="3">
        <v>429</v>
      </c>
      <c r="B433" s="4">
        <v>46263</v>
      </c>
      <c r="C433" s="3" t="s">
        <v>28</v>
      </c>
      <c r="D433" s="3" t="s">
        <v>23</v>
      </c>
      <c r="E433" s="3" t="s">
        <v>34</v>
      </c>
      <c r="F433" s="3">
        <v>297</v>
      </c>
      <c r="G433" s="3">
        <v>288</v>
      </c>
      <c r="H433" s="3">
        <v>9</v>
      </c>
      <c r="I433" s="5">
        <f t="shared" si="37"/>
        <v>3.0303030303030304E-2</v>
      </c>
      <c r="J433" s="6">
        <f t="shared" si="38"/>
        <v>30303.030303030304</v>
      </c>
      <c r="K433" s="7">
        <v>1.1399999999999999</v>
      </c>
      <c r="L433" s="3">
        <v>418</v>
      </c>
      <c r="M433" s="3">
        <v>450</v>
      </c>
      <c r="N433" s="3">
        <v>32</v>
      </c>
      <c r="O433" s="5">
        <f t="shared" si="39"/>
        <v>0.92888888888888888</v>
      </c>
      <c r="P433" s="5">
        <f t="shared" si="40"/>
        <v>0.80999999999999994</v>
      </c>
      <c r="Q433" s="5">
        <f t="shared" si="41"/>
        <v>0.96969696969696972</v>
      </c>
      <c r="R433" s="5">
        <f t="shared" si="42"/>
        <v>0.72960000000000003</v>
      </c>
    </row>
    <row r="434" spans="1:18" x14ac:dyDescent="0.25">
      <c r="A434" s="3">
        <v>430</v>
      </c>
      <c r="B434" s="4">
        <v>46263</v>
      </c>
      <c r="C434" s="3" t="s">
        <v>30</v>
      </c>
      <c r="D434" s="3" t="s">
        <v>19</v>
      </c>
      <c r="E434" s="3" t="s">
        <v>20</v>
      </c>
      <c r="F434" s="3">
        <v>255</v>
      </c>
      <c r="G434" s="3">
        <v>253</v>
      </c>
      <c r="H434" s="3">
        <v>4</v>
      </c>
      <c r="I434" s="5">
        <f t="shared" si="37"/>
        <v>1.5686274509803921E-2</v>
      </c>
      <c r="J434" s="6">
        <f t="shared" si="38"/>
        <v>15686.274509803921</v>
      </c>
      <c r="K434" s="7">
        <v>1.72</v>
      </c>
      <c r="L434" s="3">
        <v>438</v>
      </c>
      <c r="M434" s="3">
        <v>450</v>
      </c>
      <c r="N434" s="3">
        <v>12</v>
      </c>
      <c r="O434" s="5">
        <f t="shared" si="39"/>
        <v>0.97333333333333338</v>
      </c>
      <c r="P434" s="5">
        <f t="shared" si="40"/>
        <v>1.0013698630136985</v>
      </c>
      <c r="Q434" s="5">
        <f t="shared" si="41"/>
        <v>0.99215686274509807</v>
      </c>
      <c r="R434" s="5">
        <f t="shared" si="42"/>
        <v>0.96702222222222212</v>
      </c>
    </row>
    <row r="435" spans="1:18" x14ac:dyDescent="0.25">
      <c r="A435" s="3">
        <v>431</v>
      </c>
      <c r="B435" s="4">
        <v>46263</v>
      </c>
      <c r="C435" s="3" t="s">
        <v>30</v>
      </c>
      <c r="D435" s="3" t="s">
        <v>21</v>
      </c>
      <c r="E435" s="3" t="s">
        <v>31</v>
      </c>
      <c r="F435" s="3">
        <v>981</v>
      </c>
      <c r="G435" s="3">
        <v>947</v>
      </c>
      <c r="H435" s="3">
        <v>5</v>
      </c>
      <c r="I435" s="5">
        <f t="shared" si="37"/>
        <v>5.0968399592252805E-3</v>
      </c>
      <c r="J435" s="6">
        <f t="shared" si="38"/>
        <v>5096.8399592252808</v>
      </c>
      <c r="K435" s="7">
        <v>0.41</v>
      </c>
      <c r="L435" s="3">
        <v>419</v>
      </c>
      <c r="M435" s="3">
        <v>450</v>
      </c>
      <c r="N435" s="3">
        <v>31</v>
      </c>
      <c r="O435" s="5">
        <f t="shared" si="39"/>
        <v>0.93111111111111111</v>
      </c>
      <c r="P435" s="5">
        <f t="shared" si="40"/>
        <v>0.95992840095465393</v>
      </c>
      <c r="Q435" s="5">
        <f t="shared" si="41"/>
        <v>0.96534148827726807</v>
      </c>
      <c r="R435" s="5">
        <f t="shared" si="42"/>
        <v>0.86282222222222227</v>
      </c>
    </row>
    <row r="436" spans="1:18" x14ac:dyDescent="0.25">
      <c r="A436" s="3">
        <v>432</v>
      </c>
      <c r="B436" s="4">
        <v>46263</v>
      </c>
      <c r="C436" s="3" t="s">
        <v>30</v>
      </c>
      <c r="D436" s="3" t="s">
        <v>23</v>
      </c>
      <c r="E436" s="3" t="s">
        <v>22</v>
      </c>
      <c r="F436" s="3">
        <v>255</v>
      </c>
      <c r="G436" s="3">
        <v>250</v>
      </c>
      <c r="H436" s="3">
        <v>5</v>
      </c>
      <c r="I436" s="5">
        <f t="shared" si="37"/>
        <v>1.9607843137254902E-2</v>
      </c>
      <c r="J436" s="6">
        <f t="shared" si="38"/>
        <v>19607.843137254902</v>
      </c>
      <c r="K436" s="7">
        <v>1.57</v>
      </c>
      <c r="L436" s="3">
        <v>411</v>
      </c>
      <c r="M436" s="3">
        <v>450</v>
      </c>
      <c r="N436" s="3">
        <v>39</v>
      </c>
      <c r="O436" s="5">
        <f t="shared" si="39"/>
        <v>0.91333333333333333</v>
      </c>
      <c r="P436" s="5">
        <f t="shared" si="40"/>
        <v>0.97408759124087596</v>
      </c>
      <c r="Q436" s="5">
        <f t="shared" si="41"/>
        <v>0.98039215686274506</v>
      </c>
      <c r="R436" s="5">
        <f t="shared" si="42"/>
        <v>0.87222222222222223</v>
      </c>
    </row>
    <row r="437" spans="1:18" x14ac:dyDescent="0.25">
      <c r="A437" s="3">
        <v>433</v>
      </c>
      <c r="B437" s="4">
        <v>46263</v>
      </c>
      <c r="C437" s="3" t="s">
        <v>33</v>
      </c>
      <c r="D437" s="3" t="s">
        <v>19</v>
      </c>
      <c r="E437" s="3" t="s">
        <v>32</v>
      </c>
      <c r="F437" s="3">
        <v>460</v>
      </c>
      <c r="G437" s="3">
        <v>439</v>
      </c>
      <c r="H437" s="3">
        <v>21</v>
      </c>
      <c r="I437" s="5">
        <f t="shared" si="37"/>
        <v>4.5652173913043478E-2</v>
      </c>
      <c r="J437" s="6">
        <f t="shared" si="38"/>
        <v>45652.17391304348</v>
      </c>
      <c r="K437" s="7">
        <v>0.79</v>
      </c>
      <c r="L437" s="3">
        <v>442</v>
      </c>
      <c r="M437" s="3">
        <v>450</v>
      </c>
      <c r="N437" s="3">
        <v>8</v>
      </c>
      <c r="O437" s="5">
        <f t="shared" si="39"/>
        <v>0.98222222222222222</v>
      </c>
      <c r="P437" s="5">
        <f t="shared" si="40"/>
        <v>0.82217194570135754</v>
      </c>
      <c r="Q437" s="5">
        <f t="shared" si="41"/>
        <v>0.95434782608695656</v>
      </c>
      <c r="R437" s="5">
        <f t="shared" si="42"/>
        <v>0.77068888888888898</v>
      </c>
    </row>
    <row r="438" spans="1:18" x14ac:dyDescent="0.25">
      <c r="A438" s="3">
        <v>434</v>
      </c>
      <c r="B438" s="4">
        <v>46263</v>
      </c>
      <c r="C438" s="3" t="s">
        <v>33</v>
      </c>
      <c r="D438" s="3" t="s">
        <v>21</v>
      </c>
      <c r="E438" s="3" t="s">
        <v>35</v>
      </c>
      <c r="F438" s="3">
        <v>916</v>
      </c>
      <c r="G438" s="3">
        <v>885</v>
      </c>
      <c r="H438" s="3">
        <v>31</v>
      </c>
      <c r="I438" s="5">
        <f t="shared" si="37"/>
        <v>3.384279475982533E-2</v>
      </c>
      <c r="J438" s="6">
        <f t="shared" si="38"/>
        <v>33842.79475982533</v>
      </c>
      <c r="K438" s="7">
        <v>0.44</v>
      </c>
      <c r="L438" s="3">
        <v>429</v>
      </c>
      <c r="M438" s="3">
        <v>450</v>
      </c>
      <c r="N438" s="3">
        <v>21</v>
      </c>
      <c r="O438" s="5">
        <f t="shared" si="39"/>
        <v>0.95333333333333337</v>
      </c>
      <c r="P438" s="5">
        <f t="shared" si="40"/>
        <v>0.93948717948717952</v>
      </c>
      <c r="Q438" s="5">
        <f t="shared" si="41"/>
        <v>0.96615720524017468</v>
      </c>
      <c r="R438" s="5">
        <f t="shared" si="42"/>
        <v>0.8653333333333334</v>
      </c>
    </row>
    <row r="439" spans="1:18" x14ac:dyDescent="0.25">
      <c r="A439" s="3">
        <v>435</v>
      </c>
      <c r="B439" s="4">
        <v>46263</v>
      </c>
      <c r="C439" s="3" t="s">
        <v>33</v>
      </c>
      <c r="D439" s="3" t="s">
        <v>23</v>
      </c>
      <c r="E439" s="3" t="s">
        <v>31</v>
      </c>
      <c r="F439" s="3">
        <v>284</v>
      </c>
      <c r="G439" s="3">
        <v>281</v>
      </c>
      <c r="H439" s="3">
        <v>3</v>
      </c>
      <c r="I439" s="5">
        <f t="shared" si="37"/>
        <v>1.0563380281690141E-2</v>
      </c>
      <c r="J439" s="6">
        <f t="shared" si="38"/>
        <v>10563.380281690141</v>
      </c>
      <c r="K439" s="7">
        <v>1.38</v>
      </c>
      <c r="L439" s="3">
        <v>395</v>
      </c>
      <c r="M439" s="3">
        <v>450</v>
      </c>
      <c r="N439" s="3">
        <v>55</v>
      </c>
      <c r="O439" s="5">
        <f t="shared" si="39"/>
        <v>0.87777777777777777</v>
      </c>
      <c r="P439" s="5">
        <f t="shared" si="40"/>
        <v>0.99220253164556949</v>
      </c>
      <c r="Q439" s="5">
        <f t="shared" si="41"/>
        <v>0.98943661971830987</v>
      </c>
      <c r="R439" s="5">
        <f t="shared" si="42"/>
        <v>0.86173333333333324</v>
      </c>
    </row>
    <row r="440" spans="1:18" x14ac:dyDescent="0.25">
      <c r="A440" s="3">
        <v>436</v>
      </c>
      <c r="B440" s="4">
        <v>46264</v>
      </c>
      <c r="C440" s="3" t="s">
        <v>18</v>
      </c>
      <c r="D440" s="3" t="s">
        <v>19</v>
      </c>
      <c r="E440" s="3" t="s">
        <v>24</v>
      </c>
      <c r="F440" s="3">
        <v>1079</v>
      </c>
      <c r="G440" s="3">
        <v>1070</v>
      </c>
      <c r="H440" s="3">
        <v>9</v>
      </c>
      <c r="I440" s="5">
        <f t="shared" si="37"/>
        <v>8.3410565338276187E-3</v>
      </c>
      <c r="J440" s="6">
        <f t="shared" si="38"/>
        <v>8341.0565338276192</v>
      </c>
      <c r="K440" s="7">
        <v>0.35</v>
      </c>
      <c r="L440" s="3">
        <v>435</v>
      </c>
      <c r="M440" s="3">
        <v>450</v>
      </c>
      <c r="N440" s="3">
        <v>15</v>
      </c>
      <c r="O440" s="5">
        <f t="shared" si="39"/>
        <v>0.96666666666666667</v>
      </c>
      <c r="P440" s="5">
        <f t="shared" si="40"/>
        <v>0.86816091954022978</v>
      </c>
      <c r="Q440" s="5">
        <f t="shared" si="41"/>
        <v>0.99165894346617234</v>
      </c>
      <c r="R440" s="5">
        <f t="shared" si="42"/>
        <v>0.83222222222222209</v>
      </c>
    </row>
    <row r="441" spans="1:18" x14ac:dyDescent="0.25">
      <c r="A441" s="3">
        <v>437</v>
      </c>
      <c r="B441" s="4">
        <v>46264</v>
      </c>
      <c r="C441" s="3" t="s">
        <v>18</v>
      </c>
      <c r="D441" s="3" t="s">
        <v>21</v>
      </c>
      <c r="E441" s="3" t="s">
        <v>22</v>
      </c>
      <c r="F441" s="3">
        <v>569</v>
      </c>
      <c r="G441" s="3">
        <v>566</v>
      </c>
      <c r="H441" s="3">
        <v>3</v>
      </c>
      <c r="I441" s="5">
        <f t="shared" si="37"/>
        <v>5.272407732864675E-3</v>
      </c>
      <c r="J441" s="6">
        <f t="shared" si="38"/>
        <v>5272.4077328646754</v>
      </c>
      <c r="K441" s="7">
        <v>0.62</v>
      </c>
      <c r="L441" s="3">
        <v>409</v>
      </c>
      <c r="M441" s="3">
        <v>450</v>
      </c>
      <c r="N441" s="3">
        <v>41</v>
      </c>
      <c r="O441" s="5">
        <f t="shared" si="39"/>
        <v>0.90888888888888886</v>
      </c>
      <c r="P441" s="5">
        <f t="shared" si="40"/>
        <v>0.86254278728606348</v>
      </c>
      <c r="Q441" s="5">
        <f t="shared" si="41"/>
        <v>0.99472759226713536</v>
      </c>
      <c r="R441" s="5">
        <f t="shared" si="42"/>
        <v>0.77982222222222208</v>
      </c>
    </row>
    <row r="442" spans="1:18" x14ac:dyDescent="0.25">
      <c r="A442" s="3">
        <v>438</v>
      </c>
      <c r="B442" s="4">
        <v>46264</v>
      </c>
      <c r="C442" s="3" t="s">
        <v>18</v>
      </c>
      <c r="D442" s="3" t="s">
        <v>23</v>
      </c>
      <c r="E442" s="3" t="s">
        <v>20</v>
      </c>
      <c r="F442" s="3">
        <v>794</v>
      </c>
      <c r="G442" s="3">
        <v>759</v>
      </c>
      <c r="H442" s="3">
        <v>0</v>
      </c>
      <c r="I442" s="5">
        <f t="shared" si="37"/>
        <v>0</v>
      </c>
      <c r="J442" s="6">
        <f t="shared" si="38"/>
        <v>0</v>
      </c>
      <c r="K442" s="7">
        <v>0.43</v>
      </c>
      <c r="L442" s="3">
        <v>398</v>
      </c>
      <c r="M442" s="3">
        <v>450</v>
      </c>
      <c r="N442" s="3">
        <v>52</v>
      </c>
      <c r="O442" s="5">
        <f t="shared" si="39"/>
        <v>0.88444444444444448</v>
      </c>
      <c r="P442" s="5">
        <f t="shared" si="40"/>
        <v>0.85783919597989955</v>
      </c>
      <c r="Q442" s="5">
        <f t="shared" si="41"/>
        <v>0.95591939546599491</v>
      </c>
      <c r="R442" s="5">
        <f t="shared" si="42"/>
        <v>0.72526666666666673</v>
      </c>
    </row>
    <row r="443" spans="1:18" x14ac:dyDescent="0.25">
      <c r="A443" s="3">
        <v>439</v>
      </c>
      <c r="B443" s="4">
        <v>46264</v>
      </c>
      <c r="C443" s="3" t="s">
        <v>25</v>
      </c>
      <c r="D443" s="3" t="s">
        <v>19</v>
      </c>
      <c r="E443" s="3" t="s">
        <v>26</v>
      </c>
      <c r="F443" s="3">
        <v>181</v>
      </c>
      <c r="G443" s="3">
        <v>175</v>
      </c>
      <c r="H443" s="3">
        <v>3</v>
      </c>
      <c r="I443" s="5">
        <f t="shared" si="37"/>
        <v>1.6574585635359115E-2</v>
      </c>
      <c r="J443" s="6">
        <f t="shared" si="38"/>
        <v>16574.585635359115</v>
      </c>
      <c r="K443" s="7">
        <v>1.75</v>
      </c>
      <c r="L443" s="3">
        <v>390</v>
      </c>
      <c r="M443" s="3">
        <v>450</v>
      </c>
      <c r="N443" s="3">
        <v>60</v>
      </c>
      <c r="O443" s="5">
        <f t="shared" si="39"/>
        <v>0.8666666666666667</v>
      </c>
      <c r="P443" s="5">
        <f t="shared" si="40"/>
        <v>0.81217948717948718</v>
      </c>
      <c r="Q443" s="5">
        <f t="shared" si="41"/>
        <v>0.96685082872928174</v>
      </c>
      <c r="R443" s="5">
        <f t="shared" si="42"/>
        <v>0.68055555555555558</v>
      </c>
    </row>
    <row r="444" spans="1:18" x14ac:dyDescent="0.25">
      <c r="A444" s="3">
        <v>440</v>
      </c>
      <c r="B444" s="4">
        <v>46264</v>
      </c>
      <c r="C444" s="3" t="s">
        <v>25</v>
      </c>
      <c r="D444" s="3" t="s">
        <v>21</v>
      </c>
      <c r="E444" s="3" t="s">
        <v>31</v>
      </c>
      <c r="F444" s="3">
        <v>291</v>
      </c>
      <c r="G444" s="3">
        <v>288</v>
      </c>
      <c r="H444" s="3">
        <v>6</v>
      </c>
      <c r="I444" s="5">
        <f t="shared" si="37"/>
        <v>2.0618556701030927E-2</v>
      </c>
      <c r="J444" s="6">
        <f t="shared" si="38"/>
        <v>20618.556701030928</v>
      </c>
      <c r="K444" s="7">
        <v>1.22</v>
      </c>
      <c r="L444" s="3">
        <v>442</v>
      </c>
      <c r="M444" s="3">
        <v>450</v>
      </c>
      <c r="N444" s="3">
        <v>8</v>
      </c>
      <c r="O444" s="5">
        <f t="shared" si="39"/>
        <v>0.98222222222222222</v>
      </c>
      <c r="P444" s="5">
        <f t="shared" si="40"/>
        <v>0.80321266968325788</v>
      </c>
      <c r="Q444" s="5">
        <f t="shared" si="41"/>
        <v>0.98969072164948457</v>
      </c>
      <c r="R444" s="5">
        <f t="shared" si="42"/>
        <v>0.78079999999999994</v>
      </c>
    </row>
    <row r="445" spans="1:18" x14ac:dyDescent="0.25">
      <c r="A445" s="3">
        <v>441</v>
      </c>
      <c r="B445" s="4">
        <v>46264</v>
      </c>
      <c r="C445" s="3" t="s">
        <v>25</v>
      </c>
      <c r="D445" s="3" t="s">
        <v>23</v>
      </c>
      <c r="E445" s="3" t="s">
        <v>31</v>
      </c>
      <c r="F445" s="3">
        <v>815</v>
      </c>
      <c r="G445" s="3">
        <v>779</v>
      </c>
      <c r="H445" s="3">
        <v>5</v>
      </c>
      <c r="I445" s="5">
        <f t="shared" si="37"/>
        <v>6.1349693251533744E-3</v>
      </c>
      <c r="J445" s="6">
        <f t="shared" si="38"/>
        <v>6134.9693251533745</v>
      </c>
      <c r="K445" s="7">
        <v>0.46</v>
      </c>
      <c r="L445" s="3">
        <v>403</v>
      </c>
      <c r="M445" s="3">
        <v>450</v>
      </c>
      <c r="N445" s="3">
        <v>47</v>
      </c>
      <c r="O445" s="5">
        <f t="shared" si="39"/>
        <v>0.89555555555555555</v>
      </c>
      <c r="P445" s="5">
        <f t="shared" si="40"/>
        <v>0.93027295285359812</v>
      </c>
      <c r="Q445" s="5">
        <f t="shared" si="41"/>
        <v>0.95582822085889574</v>
      </c>
      <c r="R445" s="5">
        <f t="shared" si="42"/>
        <v>0.7963111111111113</v>
      </c>
    </row>
    <row r="446" spans="1:18" x14ac:dyDescent="0.25">
      <c r="A446" s="3">
        <v>442</v>
      </c>
      <c r="B446" s="4">
        <v>46264</v>
      </c>
      <c r="C446" s="3" t="s">
        <v>28</v>
      </c>
      <c r="D446" s="3" t="s">
        <v>19</v>
      </c>
      <c r="E446" s="3" t="s">
        <v>22</v>
      </c>
      <c r="F446" s="3">
        <v>338</v>
      </c>
      <c r="G446" s="3">
        <v>327</v>
      </c>
      <c r="H446" s="3">
        <v>11</v>
      </c>
      <c r="I446" s="5">
        <f t="shared" si="37"/>
        <v>3.2544378698224852E-2</v>
      </c>
      <c r="J446" s="6">
        <f t="shared" si="38"/>
        <v>32544.378698224853</v>
      </c>
      <c r="K446" s="7">
        <v>1.32</v>
      </c>
      <c r="L446" s="3">
        <v>435</v>
      </c>
      <c r="M446" s="3">
        <v>450</v>
      </c>
      <c r="N446" s="3">
        <v>15</v>
      </c>
      <c r="O446" s="5">
        <f t="shared" si="39"/>
        <v>0.96666666666666667</v>
      </c>
      <c r="P446" s="5">
        <f t="shared" si="40"/>
        <v>1.0256551724137932</v>
      </c>
      <c r="Q446" s="5">
        <f t="shared" si="41"/>
        <v>0.96745562130177509</v>
      </c>
      <c r="R446" s="5">
        <f t="shared" si="42"/>
        <v>0.95920000000000005</v>
      </c>
    </row>
    <row r="447" spans="1:18" x14ac:dyDescent="0.25">
      <c r="A447" s="3">
        <v>443</v>
      </c>
      <c r="B447" s="4">
        <v>46264</v>
      </c>
      <c r="C447" s="3" t="s">
        <v>28</v>
      </c>
      <c r="D447" s="3" t="s">
        <v>21</v>
      </c>
      <c r="E447" s="3" t="s">
        <v>24</v>
      </c>
      <c r="F447" s="3">
        <v>977</v>
      </c>
      <c r="G447" s="3">
        <v>959</v>
      </c>
      <c r="H447" s="3">
        <v>18</v>
      </c>
      <c r="I447" s="5">
        <f t="shared" si="37"/>
        <v>1.8423746161719549E-2</v>
      </c>
      <c r="J447" s="6">
        <f t="shared" si="38"/>
        <v>18423.746161719548</v>
      </c>
      <c r="K447" s="7">
        <v>0.41</v>
      </c>
      <c r="L447" s="3">
        <v>402</v>
      </c>
      <c r="M447" s="3">
        <v>450</v>
      </c>
      <c r="N447" s="3">
        <v>48</v>
      </c>
      <c r="O447" s="5">
        <f t="shared" si="39"/>
        <v>0.89333333333333331</v>
      </c>
      <c r="P447" s="5">
        <f t="shared" si="40"/>
        <v>0.99644278606965175</v>
      </c>
      <c r="Q447" s="5">
        <f t="shared" si="41"/>
        <v>0.9815762538382804</v>
      </c>
      <c r="R447" s="5">
        <f t="shared" si="42"/>
        <v>0.87375555555555551</v>
      </c>
    </row>
    <row r="448" spans="1:18" x14ac:dyDescent="0.25">
      <c r="A448" s="3">
        <v>444</v>
      </c>
      <c r="B448" s="4">
        <v>46264</v>
      </c>
      <c r="C448" s="3" t="s">
        <v>28</v>
      </c>
      <c r="D448" s="3" t="s">
        <v>23</v>
      </c>
      <c r="E448" s="3" t="s">
        <v>31</v>
      </c>
      <c r="F448" s="3">
        <v>1248</v>
      </c>
      <c r="G448" s="3">
        <v>1231</v>
      </c>
      <c r="H448" s="3">
        <v>5</v>
      </c>
      <c r="I448" s="5">
        <f t="shared" si="37"/>
        <v>4.0064102564102561E-3</v>
      </c>
      <c r="J448" s="6">
        <f t="shared" si="38"/>
        <v>4006.4102564102559</v>
      </c>
      <c r="K448" s="7">
        <v>0.36</v>
      </c>
      <c r="L448" s="3">
        <v>443</v>
      </c>
      <c r="M448" s="3">
        <v>450</v>
      </c>
      <c r="N448" s="3">
        <v>7</v>
      </c>
      <c r="O448" s="5">
        <f t="shared" si="39"/>
        <v>0.98444444444444446</v>
      </c>
      <c r="P448" s="5">
        <f t="shared" si="40"/>
        <v>1.014176072234763</v>
      </c>
      <c r="Q448" s="5">
        <f t="shared" si="41"/>
        <v>0.98637820512820518</v>
      </c>
      <c r="R448" s="5">
        <f t="shared" si="42"/>
        <v>0.98480000000000012</v>
      </c>
    </row>
    <row r="449" spans="1:18" x14ac:dyDescent="0.25">
      <c r="A449" s="3">
        <v>445</v>
      </c>
      <c r="B449" s="4">
        <v>46264</v>
      </c>
      <c r="C449" s="3" t="s">
        <v>30</v>
      </c>
      <c r="D449" s="3" t="s">
        <v>19</v>
      </c>
      <c r="E449" s="3" t="s">
        <v>22</v>
      </c>
      <c r="F449" s="3">
        <v>322</v>
      </c>
      <c r="G449" s="3">
        <v>320</v>
      </c>
      <c r="H449" s="3">
        <v>5</v>
      </c>
      <c r="I449" s="5">
        <f t="shared" si="37"/>
        <v>1.5527950310559006E-2</v>
      </c>
      <c r="J449" s="6">
        <f t="shared" si="38"/>
        <v>15527.950310559007</v>
      </c>
      <c r="K449" s="7">
        <v>1.06</v>
      </c>
      <c r="L449" s="3">
        <v>415</v>
      </c>
      <c r="M449" s="3">
        <v>450</v>
      </c>
      <c r="N449" s="3">
        <v>35</v>
      </c>
      <c r="O449" s="5">
        <f t="shared" si="39"/>
        <v>0.92222222222222228</v>
      </c>
      <c r="P449" s="5">
        <f t="shared" si="40"/>
        <v>0.82245783132530115</v>
      </c>
      <c r="Q449" s="5">
        <f t="shared" si="41"/>
        <v>0.99378881987577639</v>
      </c>
      <c r="R449" s="5">
        <f t="shared" si="42"/>
        <v>0.75377777777777777</v>
      </c>
    </row>
    <row r="450" spans="1:18" x14ac:dyDescent="0.25">
      <c r="A450" s="3">
        <v>446</v>
      </c>
      <c r="B450" s="4">
        <v>46264</v>
      </c>
      <c r="C450" s="3" t="s">
        <v>30</v>
      </c>
      <c r="D450" s="3" t="s">
        <v>21</v>
      </c>
      <c r="E450" s="3" t="s">
        <v>27</v>
      </c>
      <c r="F450" s="3">
        <v>822</v>
      </c>
      <c r="G450" s="3">
        <v>815</v>
      </c>
      <c r="H450" s="3">
        <v>7</v>
      </c>
      <c r="I450" s="5">
        <f t="shared" si="37"/>
        <v>8.5158150851581509E-3</v>
      </c>
      <c r="J450" s="6">
        <f t="shared" si="38"/>
        <v>8515.8150851581504</v>
      </c>
      <c r="K450" s="7">
        <v>0.47</v>
      </c>
      <c r="L450" s="3">
        <v>388</v>
      </c>
      <c r="M450" s="3">
        <v>450</v>
      </c>
      <c r="N450" s="3">
        <v>62</v>
      </c>
      <c r="O450" s="5">
        <f t="shared" si="39"/>
        <v>0.86222222222222222</v>
      </c>
      <c r="P450" s="5">
        <f t="shared" si="40"/>
        <v>0.99572164948453601</v>
      </c>
      <c r="Q450" s="5">
        <f t="shared" si="41"/>
        <v>0.9914841849148418</v>
      </c>
      <c r="R450" s="5">
        <f t="shared" si="42"/>
        <v>0.8512222222222221</v>
      </c>
    </row>
    <row r="451" spans="1:18" x14ac:dyDescent="0.25">
      <c r="A451" s="3">
        <v>447</v>
      </c>
      <c r="B451" s="4">
        <v>46264</v>
      </c>
      <c r="C451" s="3" t="s">
        <v>30</v>
      </c>
      <c r="D451" s="3" t="s">
        <v>23</v>
      </c>
      <c r="E451" s="3" t="s">
        <v>34</v>
      </c>
      <c r="F451" s="3">
        <v>431</v>
      </c>
      <c r="G451" s="3">
        <v>429</v>
      </c>
      <c r="H451" s="3">
        <v>2</v>
      </c>
      <c r="I451" s="5">
        <f t="shared" si="37"/>
        <v>4.6403712296983757E-3</v>
      </c>
      <c r="J451" s="6">
        <f t="shared" si="38"/>
        <v>4640.3712296983758</v>
      </c>
      <c r="K451" s="7">
        <v>0.77</v>
      </c>
      <c r="L451" s="3">
        <v>401</v>
      </c>
      <c r="M451" s="3">
        <v>450</v>
      </c>
      <c r="N451" s="3">
        <v>49</v>
      </c>
      <c r="O451" s="5">
        <f t="shared" si="39"/>
        <v>0.89111111111111108</v>
      </c>
      <c r="P451" s="5">
        <f t="shared" si="40"/>
        <v>0.82760598503740646</v>
      </c>
      <c r="Q451" s="5">
        <f t="shared" si="41"/>
        <v>0.9953596287703016</v>
      </c>
      <c r="R451" s="5">
        <f t="shared" si="42"/>
        <v>0.73406666666666665</v>
      </c>
    </row>
    <row r="452" spans="1:18" x14ac:dyDescent="0.25">
      <c r="A452" s="3">
        <v>448</v>
      </c>
      <c r="B452" s="4">
        <v>46264</v>
      </c>
      <c r="C452" s="3" t="s">
        <v>33</v>
      </c>
      <c r="D452" s="3" t="s">
        <v>19</v>
      </c>
      <c r="E452" s="3" t="s">
        <v>29</v>
      </c>
      <c r="F452" s="3">
        <v>340</v>
      </c>
      <c r="G452" s="3">
        <v>333</v>
      </c>
      <c r="H452" s="3">
        <v>5</v>
      </c>
      <c r="I452" s="5">
        <f t="shared" si="37"/>
        <v>1.4705882352941176E-2</v>
      </c>
      <c r="J452" s="6">
        <f>H452/F452*1000000</f>
        <v>14705.882352941177</v>
      </c>
      <c r="K452" s="7">
        <v>1.1499999999999999</v>
      </c>
      <c r="L452" s="3">
        <v>416</v>
      </c>
      <c r="M452" s="3">
        <v>450</v>
      </c>
      <c r="N452" s="3">
        <v>34</v>
      </c>
      <c r="O452" s="5">
        <f t="shared" si="39"/>
        <v>0.9244444444444444</v>
      </c>
      <c r="P452" s="5">
        <f t="shared" si="40"/>
        <v>0.93990384615384603</v>
      </c>
      <c r="Q452" s="5">
        <f t="shared" si="41"/>
        <v>0.97941176470588232</v>
      </c>
      <c r="R452" s="5">
        <f t="shared" si="42"/>
        <v>0.85099999999999976</v>
      </c>
    </row>
    <row r="453" spans="1:18" x14ac:dyDescent="0.25">
      <c r="A453" s="3">
        <v>449</v>
      </c>
      <c r="B453" s="4">
        <v>46264</v>
      </c>
      <c r="C453" s="3" t="s">
        <v>33</v>
      </c>
      <c r="D453" s="3" t="s">
        <v>21</v>
      </c>
      <c r="E453" s="3" t="s">
        <v>34</v>
      </c>
      <c r="F453" s="3">
        <v>281</v>
      </c>
      <c r="G453" s="3">
        <v>278</v>
      </c>
      <c r="H453" s="3">
        <v>3</v>
      </c>
      <c r="I453" s="5">
        <f t="shared" ref="I453:I469" si="43">IFERROR(H453/F453,0)</f>
        <v>1.0676156583629894E-2</v>
      </c>
      <c r="J453" s="6">
        <f t="shared" ref="J453:J469" si="44">H453/F453*1000000</f>
        <v>10676.156583629894</v>
      </c>
      <c r="K453" s="7">
        <v>1.1499999999999999</v>
      </c>
      <c r="L453" s="3">
        <v>403</v>
      </c>
      <c r="M453" s="3">
        <v>450</v>
      </c>
      <c r="N453" s="3">
        <v>47</v>
      </c>
      <c r="O453" s="5">
        <f t="shared" ref="O453:O469" si="45">IFERROR(L453/M453,0)</f>
        <v>0.89555555555555555</v>
      </c>
      <c r="P453" s="5">
        <f t="shared" ref="P453:P469" si="46">IFERROR(F453*K453/L453,0)</f>
        <v>0.80186104218362275</v>
      </c>
      <c r="Q453" s="5">
        <f t="shared" ref="Q453:Q469" si="47">IFERROR(G453/F453,0)</f>
        <v>0.98932384341637014</v>
      </c>
      <c r="R453" s="5">
        <f t="shared" ref="R453:R469" si="48">O453*P453*Q453</f>
        <v>0.71044444444444443</v>
      </c>
    </row>
    <row r="454" spans="1:18" x14ac:dyDescent="0.25">
      <c r="A454" s="3">
        <v>450</v>
      </c>
      <c r="B454" s="4">
        <v>46264</v>
      </c>
      <c r="C454" s="3" t="s">
        <v>33</v>
      </c>
      <c r="D454" s="3" t="s">
        <v>23</v>
      </c>
      <c r="E454" s="3" t="s">
        <v>24</v>
      </c>
      <c r="F454" s="3">
        <v>245</v>
      </c>
      <c r="G454" s="3">
        <v>235</v>
      </c>
      <c r="H454" s="3">
        <v>10</v>
      </c>
      <c r="I454" s="5">
        <f t="shared" si="43"/>
        <v>4.0816326530612242E-2</v>
      </c>
      <c r="J454" s="6">
        <f t="shared" si="44"/>
        <v>40816.326530612241</v>
      </c>
      <c r="K454" s="7">
        <v>1.7</v>
      </c>
      <c r="L454" s="3">
        <v>413</v>
      </c>
      <c r="M454" s="3">
        <v>450</v>
      </c>
      <c r="N454" s="3">
        <v>37</v>
      </c>
      <c r="O454" s="5">
        <f t="shared" si="45"/>
        <v>0.9177777777777778</v>
      </c>
      <c r="P454" s="5">
        <f t="shared" si="46"/>
        <v>1.0084745762711864</v>
      </c>
      <c r="Q454" s="5">
        <f t="shared" si="47"/>
        <v>0.95918367346938771</v>
      </c>
      <c r="R454" s="5">
        <f t="shared" si="48"/>
        <v>0.88777777777777778</v>
      </c>
    </row>
    <row r="455" spans="1:18" x14ac:dyDescent="0.25">
      <c r="A455" s="3">
        <v>451</v>
      </c>
      <c r="B455" s="4">
        <v>46265</v>
      </c>
      <c r="C455" s="3" t="s">
        <v>18</v>
      </c>
      <c r="D455" s="3" t="s">
        <v>19</v>
      </c>
      <c r="E455" s="3" t="s">
        <v>27</v>
      </c>
      <c r="F455" s="3">
        <v>313</v>
      </c>
      <c r="G455" s="3">
        <v>307</v>
      </c>
      <c r="H455" s="3">
        <v>6</v>
      </c>
      <c r="I455" s="5">
        <f t="shared" si="43"/>
        <v>1.9169329073482427E-2</v>
      </c>
      <c r="J455" s="6">
        <f t="shared" si="44"/>
        <v>19169.329073482426</v>
      </c>
      <c r="K455" s="7">
        <v>1.29</v>
      </c>
      <c r="L455" s="3">
        <v>399</v>
      </c>
      <c r="M455" s="3">
        <v>450</v>
      </c>
      <c r="N455" s="3">
        <v>51</v>
      </c>
      <c r="O455" s="5">
        <f t="shared" si="45"/>
        <v>0.88666666666666671</v>
      </c>
      <c r="P455" s="5">
        <f t="shared" si="46"/>
        <v>1.0119548872180453</v>
      </c>
      <c r="Q455" s="5">
        <f t="shared" si="47"/>
        <v>0.98083067092651754</v>
      </c>
      <c r="R455" s="5">
        <f t="shared" si="48"/>
        <v>0.88006666666666689</v>
      </c>
    </row>
    <row r="456" spans="1:18" x14ac:dyDescent="0.25">
      <c r="A456" s="3">
        <v>452</v>
      </c>
      <c r="B456" s="4">
        <v>46265</v>
      </c>
      <c r="C456" s="3" t="s">
        <v>18</v>
      </c>
      <c r="D456" s="3" t="s">
        <v>21</v>
      </c>
      <c r="E456" s="3" t="s">
        <v>31</v>
      </c>
      <c r="F456" s="3">
        <v>966</v>
      </c>
      <c r="G456" s="3">
        <v>959</v>
      </c>
      <c r="H456" s="3">
        <v>7</v>
      </c>
      <c r="I456" s="5">
        <f t="shared" si="43"/>
        <v>7.246376811594203E-3</v>
      </c>
      <c r="J456" s="6">
        <f t="shared" si="44"/>
        <v>7246.376811594203</v>
      </c>
      <c r="K456" s="7">
        <v>0.36</v>
      </c>
      <c r="L456" s="3">
        <v>431</v>
      </c>
      <c r="M456" s="3">
        <v>450</v>
      </c>
      <c r="N456" s="3">
        <v>19</v>
      </c>
      <c r="O456" s="5">
        <f t="shared" si="45"/>
        <v>0.95777777777777773</v>
      </c>
      <c r="P456" s="5">
        <f t="shared" si="46"/>
        <v>0.80686774941995354</v>
      </c>
      <c r="Q456" s="5">
        <f t="shared" si="47"/>
        <v>0.99275362318840576</v>
      </c>
      <c r="R456" s="5">
        <f t="shared" si="48"/>
        <v>0.76719999999999988</v>
      </c>
    </row>
    <row r="457" spans="1:18" x14ac:dyDescent="0.25">
      <c r="A457" s="3">
        <v>453</v>
      </c>
      <c r="B457" s="4">
        <v>46265</v>
      </c>
      <c r="C457" s="3" t="s">
        <v>18</v>
      </c>
      <c r="D457" s="3" t="s">
        <v>23</v>
      </c>
      <c r="E457" s="3" t="s">
        <v>32</v>
      </c>
      <c r="F457" s="3">
        <v>490</v>
      </c>
      <c r="G457" s="3">
        <v>472</v>
      </c>
      <c r="H457" s="3">
        <v>18</v>
      </c>
      <c r="I457" s="5">
        <f t="shared" si="43"/>
        <v>3.6734693877551024E-2</v>
      </c>
      <c r="J457" s="6">
        <f t="shared" si="44"/>
        <v>36734.693877551021</v>
      </c>
      <c r="K457" s="7">
        <v>0.86</v>
      </c>
      <c r="L457" s="3">
        <v>442</v>
      </c>
      <c r="M457" s="3">
        <v>450</v>
      </c>
      <c r="N457" s="3">
        <v>8</v>
      </c>
      <c r="O457" s="5">
        <f t="shared" si="45"/>
        <v>0.98222222222222222</v>
      </c>
      <c r="P457" s="5">
        <f t="shared" si="46"/>
        <v>0.95339366515837098</v>
      </c>
      <c r="Q457" s="5">
        <f t="shared" si="47"/>
        <v>0.96326530612244898</v>
      </c>
      <c r="R457" s="5">
        <f t="shared" si="48"/>
        <v>0.90204444444444443</v>
      </c>
    </row>
    <row r="458" spans="1:18" x14ac:dyDescent="0.25">
      <c r="A458" s="3">
        <v>454</v>
      </c>
      <c r="B458" s="4">
        <v>46265</v>
      </c>
      <c r="C458" s="3" t="s">
        <v>25</v>
      </c>
      <c r="D458" s="3" t="s">
        <v>19</v>
      </c>
      <c r="E458" s="3" t="s">
        <v>34</v>
      </c>
      <c r="F458" s="3">
        <v>322</v>
      </c>
      <c r="G458" s="3">
        <v>316</v>
      </c>
      <c r="H458" s="3">
        <v>6</v>
      </c>
      <c r="I458" s="5">
        <f t="shared" si="43"/>
        <v>1.8633540372670808E-2</v>
      </c>
      <c r="J458" s="6">
        <f t="shared" si="44"/>
        <v>18633.540372670806</v>
      </c>
      <c r="K458" s="7">
        <v>1.21</v>
      </c>
      <c r="L458" s="3">
        <v>404</v>
      </c>
      <c r="M458" s="3">
        <v>450</v>
      </c>
      <c r="N458" s="3">
        <v>46</v>
      </c>
      <c r="O458" s="5">
        <f t="shared" si="45"/>
        <v>0.89777777777777779</v>
      </c>
      <c r="P458" s="5">
        <f t="shared" si="46"/>
        <v>0.96440594059405937</v>
      </c>
      <c r="Q458" s="5">
        <f t="shared" si="47"/>
        <v>0.98136645962732916</v>
      </c>
      <c r="R458" s="5">
        <f t="shared" si="48"/>
        <v>0.84968888888888883</v>
      </c>
    </row>
    <row r="459" spans="1:18" x14ac:dyDescent="0.25">
      <c r="A459" s="3">
        <v>455</v>
      </c>
      <c r="B459" s="4">
        <v>46265</v>
      </c>
      <c r="C459" s="3" t="s">
        <v>25</v>
      </c>
      <c r="D459" s="3" t="s">
        <v>21</v>
      </c>
      <c r="E459" s="3" t="s">
        <v>20</v>
      </c>
      <c r="F459" s="3">
        <v>1004</v>
      </c>
      <c r="G459" s="3">
        <v>987</v>
      </c>
      <c r="H459" s="3">
        <v>5</v>
      </c>
      <c r="I459" s="5">
        <f t="shared" si="43"/>
        <v>4.9800796812749003E-3</v>
      </c>
      <c r="J459" s="6">
        <f t="shared" si="44"/>
        <v>4980.0796812749004</v>
      </c>
      <c r="K459" s="7">
        <v>0.37</v>
      </c>
      <c r="L459" s="3">
        <v>437</v>
      </c>
      <c r="M459" s="3">
        <v>450</v>
      </c>
      <c r="N459" s="3">
        <v>13</v>
      </c>
      <c r="O459" s="5">
        <f t="shared" si="45"/>
        <v>0.97111111111111115</v>
      </c>
      <c r="P459" s="5">
        <f t="shared" si="46"/>
        <v>0.85006864988558362</v>
      </c>
      <c r="Q459" s="5">
        <f t="shared" si="47"/>
        <v>0.98306772908366535</v>
      </c>
      <c r="R459" s="5">
        <f t="shared" si="48"/>
        <v>0.81153333333333344</v>
      </c>
    </row>
    <row r="460" spans="1:18" x14ac:dyDescent="0.25">
      <c r="A460" s="3">
        <v>456</v>
      </c>
      <c r="B460" s="4">
        <v>46265</v>
      </c>
      <c r="C460" s="3" t="s">
        <v>25</v>
      </c>
      <c r="D460" s="3" t="s">
        <v>23</v>
      </c>
      <c r="E460" s="3" t="s">
        <v>34</v>
      </c>
      <c r="F460" s="3">
        <v>534</v>
      </c>
      <c r="G460" s="3">
        <v>517</v>
      </c>
      <c r="H460" s="3">
        <v>17</v>
      </c>
      <c r="I460" s="5">
        <f t="shared" si="43"/>
        <v>3.1835205992509365E-2</v>
      </c>
      <c r="J460" s="6">
        <f t="shared" si="44"/>
        <v>31835.205992509364</v>
      </c>
      <c r="K460" s="7">
        <v>0.75</v>
      </c>
      <c r="L460" s="3">
        <v>413</v>
      </c>
      <c r="M460" s="3">
        <v>450</v>
      </c>
      <c r="N460" s="3">
        <v>37</v>
      </c>
      <c r="O460" s="5">
        <f t="shared" si="45"/>
        <v>0.9177777777777778</v>
      </c>
      <c r="P460" s="5">
        <f t="shared" si="46"/>
        <v>0.96973365617433416</v>
      </c>
      <c r="Q460" s="5">
        <f t="shared" si="47"/>
        <v>0.96816479400749067</v>
      </c>
      <c r="R460" s="5">
        <f t="shared" si="48"/>
        <v>0.86166666666666669</v>
      </c>
    </row>
    <row r="461" spans="1:18" x14ac:dyDescent="0.25">
      <c r="A461" s="3">
        <v>457</v>
      </c>
      <c r="B461" s="4">
        <v>46265</v>
      </c>
      <c r="C461" s="3" t="s">
        <v>28</v>
      </c>
      <c r="D461" s="3" t="s">
        <v>19</v>
      </c>
      <c r="E461" s="3" t="s">
        <v>35</v>
      </c>
      <c r="F461" s="3">
        <v>707</v>
      </c>
      <c r="G461" s="3">
        <v>685</v>
      </c>
      <c r="H461" s="3">
        <v>2</v>
      </c>
      <c r="I461" s="5">
        <f t="shared" si="43"/>
        <v>2.828854314002829E-3</v>
      </c>
      <c r="J461" s="6">
        <f t="shared" si="44"/>
        <v>2828.8543140028291</v>
      </c>
      <c r="K461" s="7">
        <v>0.55000000000000004</v>
      </c>
      <c r="L461" s="3">
        <v>396</v>
      </c>
      <c r="M461" s="3">
        <v>450</v>
      </c>
      <c r="N461" s="3">
        <v>54</v>
      </c>
      <c r="O461" s="5">
        <f t="shared" si="45"/>
        <v>0.88</v>
      </c>
      <c r="P461" s="5">
        <f t="shared" si="46"/>
        <v>0.98194444444444451</v>
      </c>
      <c r="Q461" s="5">
        <f t="shared" si="47"/>
        <v>0.96888260254596892</v>
      </c>
      <c r="R461" s="5">
        <f t="shared" si="48"/>
        <v>0.83722222222222231</v>
      </c>
    </row>
    <row r="462" spans="1:18" x14ac:dyDescent="0.25">
      <c r="A462" s="3">
        <v>458</v>
      </c>
      <c r="B462" s="4">
        <v>46265</v>
      </c>
      <c r="C462" s="3" t="s">
        <v>28</v>
      </c>
      <c r="D462" s="3" t="s">
        <v>21</v>
      </c>
      <c r="E462" s="3" t="s">
        <v>32</v>
      </c>
      <c r="F462" s="3">
        <v>610</v>
      </c>
      <c r="G462" s="3">
        <v>597</v>
      </c>
      <c r="H462" s="3">
        <v>2</v>
      </c>
      <c r="I462" s="5">
        <f t="shared" si="43"/>
        <v>3.2786885245901639E-3</v>
      </c>
      <c r="J462" s="6">
        <f t="shared" si="44"/>
        <v>3278.688524590164</v>
      </c>
      <c r="K462" s="7">
        <v>0.63</v>
      </c>
      <c r="L462" s="3">
        <v>427</v>
      </c>
      <c r="M462" s="3">
        <v>450</v>
      </c>
      <c r="N462" s="3">
        <v>23</v>
      </c>
      <c r="O462" s="5">
        <f t="shared" si="45"/>
        <v>0.94888888888888889</v>
      </c>
      <c r="P462" s="5">
        <f t="shared" si="46"/>
        <v>0.9</v>
      </c>
      <c r="Q462" s="5">
        <f t="shared" si="47"/>
        <v>0.97868852459016398</v>
      </c>
      <c r="R462" s="5">
        <f t="shared" si="48"/>
        <v>0.83579999999999999</v>
      </c>
    </row>
    <row r="463" spans="1:18" x14ac:dyDescent="0.25">
      <c r="A463" s="3">
        <v>459</v>
      </c>
      <c r="B463" s="4">
        <v>46265</v>
      </c>
      <c r="C463" s="3" t="s">
        <v>28</v>
      </c>
      <c r="D463" s="3" t="s">
        <v>23</v>
      </c>
      <c r="E463" s="3" t="s">
        <v>35</v>
      </c>
      <c r="F463" s="3">
        <v>724</v>
      </c>
      <c r="G463" s="3">
        <v>719</v>
      </c>
      <c r="H463" s="3">
        <v>5</v>
      </c>
      <c r="I463" s="5">
        <f t="shared" si="43"/>
        <v>6.9060773480662981E-3</v>
      </c>
      <c r="J463" s="6">
        <f t="shared" si="44"/>
        <v>6906.0773480662983</v>
      </c>
      <c r="K463" s="7">
        <v>0.51</v>
      </c>
      <c r="L463" s="3">
        <v>406</v>
      </c>
      <c r="M463" s="3">
        <v>450</v>
      </c>
      <c r="N463" s="3">
        <v>44</v>
      </c>
      <c r="O463" s="5">
        <f t="shared" si="45"/>
        <v>0.90222222222222226</v>
      </c>
      <c r="P463" s="5">
        <f t="shared" si="46"/>
        <v>0.90945812807881776</v>
      </c>
      <c r="Q463" s="5">
        <f t="shared" si="47"/>
        <v>0.99309392265193375</v>
      </c>
      <c r="R463" s="5">
        <f t="shared" si="48"/>
        <v>0.81486666666666674</v>
      </c>
    </row>
    <row r="464" spans="1:18" x14ac:dyDescent="0.25">
      <c r="A464" s="3">
        <v>460</v>
      </c>
      <c r="B464" s="4">
        <v>46265</v>
      </c>
      <c r="C464" s="3" t="s">
        <v>30</v>
      </c>
      <c r="D464" s="3" t="s">
        <v>19</v>
      </c>
      <c r="E464" s="3" t="s">
        <v>35</v>
      </c>
      <c r="F464" s="3">
        <v>768</v>
      </c>
      <c r="G464" s="3">
        <v>757</v>
      </c>
      <c r="H464" s="3">
        <v>11</v>
      </c>
      <c r="I464" s="5">
        <f t="shared" si="43"/>
        <v>1.4322916666666666E-2</v>
      </c>
      <c r="J464" s="6">
        <f t="shared" si="44"/>
        <v>14322.916666666666</v>
      </c>
      <c r="K464" s="7">
        <v>0.59</v>
      </c>
      <c r="L464" s="3">
        <v>445</v>
      </c>
      <c r="M464" s="3">
        <v>450</v>
      </c>
      <c r="N464" s="3">
        <v>5</v>
      </c>
      <c r="O464" s="5">
        <f t="shared" si="45"/>
        <v>0.98888888888888893</v>
      </c>
      <c r="P464" s="5">
        <f t="shared" si="46"/>
        <v>1.0182471910112361</v>
      </c>
      <c r="Q464" s="5">
        <f t="shared" si="47"/>
        <v>0.98567708333333337</v>
      </c>
      <c r="R464" s="5">
        <f t="shared" si="48"/>
        <v>0.99251111111111123</v>
      </c>
    </row>
    <row r="465" spans="1:18" x14ac:dyDescent="0.25">
      <c r="A465" s="3">
        <v>461</v>
      </c>
      <c r="B465" s="4">
        <v>46265</v>
      </c>
      <c r="C465" s="3" t="s">
        <v>30</v>
      </c>
      <c r="D465" s="3" t="s">
        <v>21</v>
      </c>
      <c r="E465" s="3" t="s">
        <v>20</v>
      </c>
      <c r="F465" s="3">
        <v>432</v>
      </c>
      <c r="G465" s="3">
        <v>414</v>
      </c>
      <c r="H465" s="3">
        <v>18</v>
      </c>
      <c r="I465" s="5">
        <f t="shared" si="43"/>
        <v>4.1666666666666664E-2</v>
      </c>
      <c r="J465" s="6">
        <f t="shared" si="44"/>
        <v>41666.666666666664</v>
      </c>
      <c r="K465" s="7">
        <v>0.87</v>
      </c>
      <c r="L465" s="3">
        <v>437</v>
      </c>
      <c r="M465" s="3">
        <v>450</v>
      </c>
      <c r="N465" s="3">
        <v>13</v>
      </c>
      <c r="O465" s="5">
        <f t="shared" si="45"/>
        <v>0.97111111111111115</v>
      </c>
      <c r="P465" s="5">
        <f t="shared" si="46"/>
        <v>0.860045766590389</v>
      </c>
      <c r="Q465" s="5">
        <f t="shared" si="47"/>
        <v>0.95833333333333337</v>
      </c>
      <c r="R465" s="5">
        <f t="shared" si="48"/>
        <v>0.80040000000000011</v>
      </c>
    </row>
    <row r="466" spans="1:18" x14ac:dyDescent="0.25">
      <c r="A466" s="3">
        <v>462</v>
      </c>
      <c r="B466" s="4">
        <v>46265</v>
      </c>
      <c r="C466" s="3" t="s">
        <v>30</v>
      </c>
      <c r="D466" s="3" t="s">
        <v>23</v>
      </c>
      <c r="E466" s="3" t="s">
        <v>27</v>
      </c>
      <c r="F466" s="3">
        <v>293</v>
      </c>
      <c r="G466" s="3">
        <v>291</v>
      </c>
      <c r="H466" s="3">
        <v>2</v>
      </c>
      <c r="I466" s="5">
        <f t="shared" si="43"/>
        <v>6.8259385665529011E-3</v>
      </c>
      <c r="J466" s="6">
        <f t="shared" si="44"/>
        <v>6825.9385665529007</v>
      </c>
      <c r="K466" s="7">
        <v>1.17</v>
      </c>
      <c r="L466" s="3">
        <v>402</v>
      </c>
      <c r="M466" s="3">
        <v>450</v>
      </c>
      <c r="N466" s="3">
        <v>48</v>
      </c>
      <c r="O466" s="5">
        <f t="shared" si="45"/>
        <v>0.89333333333333331</v>
      </c>
      <c r="P466" s="5">
        <f t="shared" si="46"/>
        <v>0.85276119402985073</v>
      </c>
      <c r="Q466" s="5">
        <f t="shared" si="47"/>
        <v>0.99317406143344711</v>
      </c>
      <c r="R466" s="5">
        <f t="shared" si="48"/>
        <v>0.75659999999999994</v>
      </c>
    </row>
    <row r="467" spans="1:18" x14ac:dyDescent="0.25">
      <c r="A467" s="3">
        <v>463</v>
      </c>
      <c r="B467" s="4">
        <v>46265</v>
      </c>
      <c r="C467" s="3" t="s">
        <v>33</v>
      </c>
      <c r="D467" s="3" t="s">
        <v>19</v>
      </c>
      <c r="E467" s="3" t="s">
        <v>35</v>
      </c>
      <c r="F467" s="3">
        <v>290</v>
      </c>
      <c r="G467" s="3">
        <v>279</v>
      </c>
      <c r="H467" s="3">
        <v>11</v>
      </c>
      <c r="I467" s="5">
        <f t="shared" si="43"/>
        <v>3.793103448275862E-2</v>
      </c>
      <c r="J467" s="6">
        <f t="shared" si="44"/>
        <v>37931.034482758623</v>
      </c>
      <c r="K467" s="7">
        <v>1.1599999999999999</v>
      </c>
      <c r="L467" s="3">
        <v>389</v>
      </c>
      <c r="M467" s="3">
        <v>450</v>
      </c>
      <c r="N467" s="3">
        <v>61</v>
      </c>
      <c r="O467" s="5">
        <f t="shared" si="45"/>
        <v>0.86444444444444446</v>
      </c>
      <c r="P467" s="5">
        <f t="shared" si="46"/>
        <v>0.86478149100257062</v>
      </c>
      <c r="Q467" s="5">
        <f t="shared" si="47"/>
        <v>0.96206896551724141</v>
      </c>
      <c r="R467" s="5">
        <f t="shared" si="48"/>
        <v>0.71919999999999995</v>
      </c>
    </row>
    <row r="468" spans="1:18" x14ac:dyDescent="0.25">
      <c r="A468" s="3">
        <v>464</v>
      </c>
      <c r="B468" s="4">
        <v>46265</v>
      </c>
      <c r="C468" s="3" t="s">
        <v>33</v>
      </c>
      <c r="D468" s="3" t="s">
        <v>21</v>
      </c>
      <c r="E468" s="3" t="s">
        <v>32</v>
      </c>
      <c r="F468" s="3">
        <v>267</v>
      </c>
      <c r="G468" s="3">
        <v>260</v>
      </c>
      <c r="H468" s="3">
        <v>7</v>
      </c>
      <c r="I468" s="5">
        <f t="shared" si="43"/>
        <v>2.6217228464419477E-2</v>
      </c>
      <c r="J468" s="6">
        <f t="shared" si="44"/>
        <v>26217.228464419477</v>
      </c>
      <c r="K468" s="7">
        <v>1.63</v>
      </c>
      <c r="L468" s="3">
        <v>427</v>
      </c>
      <c r="M468" s="3">
        <v>450</v>
      </c>
      <c r="N468" s="3">
        <v>23</v>
      </c>
      <c r="O468" s="5">
        <f t="shared" si="45"/>
        <v>0.94888888888888889</v>
      </c>
      <c r="P468" s="5">
        <f t="shared" si="46"/>
        <v>1.0192271662763466</v>
      </c>
      <c r="Q468" s="5">
        <f t="shared" si="47"/>
        <v>0.97378277153558057</v>
      </c>
      <c r="R468" s="5">
        <f t="shared" si="48"/>
        <v>0.94177777777777782</v>
      </c>
    </row>
    <row r="469" spans="1:18" x14ac:dyDescent="0.25">
      <c r="A469" s="3">
        <v>465</v>
      </c>
      <c r="B469" s="4">
        <v>46265</v>
      </c>
      <c r="C469" s="3" t="s">
        <v>33</v>
      </c>
      <c r="D469" s="3" t="s">
        <v>23</v>
      </c>
      <c r="E469" s="3" t="s">
        <v>34</v>
      </c>
      <c r="F469" s="3">
        <v>508</v>
      </c>
      <c r="G469" s="3">
        <v>506</v>
      </c>
      <c r="H469" s="3">
        <v>2</v>
      </c>
      <c r="I469" s="5">
        <f t="shared" si="43"/>
        <v>3.937007874015748E-3</v>
      </c>
      <c r="J469" s="6">
        <f t="shared" si="44"/>
        <v>3937.0078740157478</v>
      </c>
      <c r="K469" s="7">
        <v>0.74</v>
      </c>
      <c r="L469" s="3">
        <v>417</v>
      </c>
      <c r="M469" s="3">
        <v>450</v>
      </c>
      <c r="N469" s="3">
        <v>33</v>
      </c>
      <c r="O469" s="5">
        <f t="shared" si="45"/>
        <v>0.92666666666666664</v>
      </c>
      <c r="P469" s="5">
        <f t="shared" si="46"/>
        <v>0.90148681055155877</v>
      </c>
      <c r="Q469" s="5">
        <f t="shared" si="47"/>
        <v>0.99606299212598426</v>
      </c>
      <c r="R469" s="5">
        <f t="shared" si="48"/>
        <v>0.83208888888888888</v>
      </c>
    </row>
  </sheetData>
  <autoFilter ref="A4:R469" xr:uid="{00000000-0009-0000-0000-000001000000}"/>
  <mergeCells count="1">
    <mergeCell ref="A1:R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54"/>
  <sheetViews>
    <sheetView workbookViewId="0">
      <pane ySplit="4" topLeftCell="A5" activePane="bottomLeft" state="frozen"/>
      <selection pane="bottomLeft" activeCell="J4" sqref="J4"/>
    </sheetView>
  </sheetViews>
  <sheetFormatPr defaultRowHeight="15" x14ac:dyDescent="0.25"/>
  <cols>
    <col min="1" max="1" width="9" customWidth="1"/>
    <col min="2" max="2" width="14" customWidth="1"/>
    <col min="3" max="3" width="16" customWidth="1"/>
    <col min="4" max="4" width="10" customWidth="1"/>
    <col min="5" max="5" width="20" customWidth="1"/>
    <col min="6" max="6" width="13" customWidth="1"/>
    <col min="7" max="7" width="10" customWidth="1"/>
    <col min="8" max="8" width="15" customWidth="1"/>
    <col min="9" max="9" width="10" customWidth="1"/>
    <col min="10" max="10" width="12" customWidth="1"/>
    <col min="11" max="11" width="13" customWidth="1"/>
    <col min="12" max="12" width="17" customWidth="1"/>
    <col min="13" max="13" width="25" customWidth="1"/>
    <col min="14" max="14" width="12" customWidth="1"/>
    <col min="15" max="16" width="14" customWidth="1"/>
    <col min="17" max="17" width="12" customWidth="1"/>
    <col min="18" max="18" width="10" customWidth="1"/>
  </cols>
  <sheetData>
    <row r="1" spans="1:18" x14ac:dyDescent="0.25">
      <c r="A1" s="25" t="s">
        <v>73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26.45" customHeight="1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26.45" customHeight="1" x14ac:dyDescent="0.25">
      <c r="A3" s="9"/>
      <c r="B3" s="9"/>
      <c r="C3" s="9"/>
      <c r="D3" s="9"/>
      <c r="E3" s="9"/>
      <c r="F3" s="9">
        <f>SUM(F5:F1001)</f>
        <v>190432</v>
      </c>
      <c r="G3" s="9">
        <f t="shared" ref="G3:H3" si="0">SUM(G5:G1001)</f>
        <v>185931</v>
      </c>
      <c r="H3" s="9">
        <f t="shared" si="0"/>
        <v>4501</v>
      </c>
      <c r="I3" s="10">
        <f>AVERAGE(I5:I1001)</f>
        <v>2.3749578588257516E-2</v>
      </c>
      <c r="J3" s="32">
        <f>SUM(J5:J1000)</f>
        <v>10687310.36471588</v>
      </c>
      <c r="K3" s="9"/>
      <c r="L3" s="9"/>
      <c r="M3" s="9"/>
      <c r="N3" s="9">
        <f>SUM(N5:N1000)</f>
        <v>15521</v>
      </c>
      <c r="O3" s="9"/>
      <c r="P3" s="9"/>
      <c r="Q3" s="9"/>
      <c r="R3" s="10">
        <f>AVERAGE(R5:R1000)</f>
        <v>0.81300162962962907</v>
      </c>
    </row>
    <row r="4" spans="1:18" s="1" customFormat="1" ht="26.1" customHeight="1" x14ac:dyDescent="0.2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</row>
    <row r="5" spans="1:18" x14ac:dyDescent="0.25">
      <c r="A5" s="3">
        <v>1</v>
      </c>
      <c r="B5" s="4">
        <v>46266</v>
      </c>
      <c r="C5" s="3" t="s">
        <v>18</v>
      </c>
      <c r="D5" s="3" t="s">
        <v>19</v>
      </c>
      <c r="E5" s="3" t="s">
        <v>24</v>
      </c>
      <c r="F5" s="3">
        <v>248</v>
      </c>
      <c r="G5" s="3">
        <v>241</v>
      </c>
      <c r="H5" s="3">
        <v>7</v>
      </c>
      <c r="I5" s="5">
        <f t="shared" ref="I5:I68" si="1">IFERROR(H5/F5,0)</f>
        <v>2.8225806451612902E-2</v>
      </c>
      <c r="J5" s="6">
        <f>H5/F5*1000000</f>
        <v>28225.806451612902</v>
      </c>
      <c r="K5" s="7">
        <v>1.52</v>
      </c>
      <c r="L5" s="3">
        <v>440</v>
      </c>
      <c r="M5" s="3">
        <v>450</v>
      </c>
      <c r="N5" s="3">
        <v>10</v>
      </c>
      <c r="O5" s="5">
        <f t="shared" ref="O5:O68" si="2">IFERROR(L5/M5,0)</f>
        <v>0.97777777777777775</v>
      </c>
      <c r="P5" s="5">
        <f t="shared" ref="P5:P68" si="3">IFERROR(F5*K5/L5,0)</f>
        <v>0.85672727272727267</v>
      </c>
      <c r="Q5" s="5">
        <f t="shared" ref="Q5:Q68" si="4">IFERROR(G5/F5,0)</f>
        <v>0.97177419354838712</v>
      </c>
      <c r="R5" s="5">
        <f t="shared" ref="R5:R68" si="5">O5*P5*Q5</f>
        <v>0.81404444444444435</v>
      </c>
    </row>
    <row r="6" spans="1:18" x14ac:dyDescent="0.25">
      <c r="A6" s="3">
        <v>2</v>
      </c>
      <c r="B6" s="4">
        <v>46266</v>
      </c>
      <c r="C6" s="3" t="s">
        <v>18</v>
      </c>
      <c r="D6" s="3" t="s">
        <v>21</v>
      </c>
      <c r="E6" s="3" t="s">
        <v>32</v>
      </c>
      <c r="F6" s="3">
        <v>856</v>
      </c>
      <c r="G6" s="3">
        <v>828</v>
      </c>
      <c r="H6" s="3">
        <v>28</v>
      </c>
      <c r="I6" s="5">
        <f t="shared" si="1"/>
        <v>3.2710280373831772E-2</v>
      </c>
      <c r="J6" s="6">
        <f t="shared" ref="J6:J69" si="6">H6/F6*1000000</f>
        <v>32710.280373831771</v>
      </c>
      <c r="K6" s="7">
        <v>0.41</v>
      </c>
      <c r="L6" s="3">
        <v>439</v>
      </c>
      <c r="M6" s="3">
        <v>450</v>
      </c>
      <c r="N6" s="3">
        <v>11</v>
      </c>
      <c r="O6" s="5">
        <f t="shared" si="2"/>
        <v>0.97555555555555551</v>
      </c>
      <c r="P6" s="5">
        <f t="shared" si="3"/>
        <v>0.79945330296127559</v>
      </c>
      <c r="Q6" s="5">
        <f t="shared" si="4"/>
        <v>0.96728971962616828</v>
      </c>
      <c r="R6" s="5">
        <f t="shared" si="5"/>
        <v>0.75439999999999996</v>
      </c>
    </row>
    <row r="7" spans="1:18" x14ac:dyDescent="0.25">
      <c r="A7" s="3">
        <v>3</v>
      </c>
      <c r="B7" s="4">
        <v>46266</v>
      </c>
      <c r="C7" s="3" t="s">
        <v>18</v>
      </c>
      <c r="D7" s="3" t="s">
        <v>23</v>
      </c>
      <c r="E7" s="3" t="s">
        <v>29</v>
      </c>
      <c r="F7" s="3">
        <v>855</v>
      </c>
      <c r="G7" s="3">
        <v>844</v>
      </c>
      <c r="H7" s="3">
        <v>11</v>
      </c>
      <c r="I7" s="5">
        <f t="shared" si="1"/>
        <v>1.2865497076023392E-2</v>
      </c>
      <c r="J7" s="6">
        <f t="shared" si="6"/>
        <v>12865.497076023392</v>
      </c>
      <c r="K7" s="7">
        <v>0.45</v>
      </c>
      <c r="L7" s="3">
        <v>445</v>
      </c>
      <c r="M7" s="3">
        <v>450</v>
      </c>
      <c r="N7" s="3">
        <v>5</v>
      </c>
      <c r="O7" s="5">
        <f t="shared" si="2"/>
        <v>0.98888888888888893</v>
      </c>
      <c r="P7" s="5">
        <f t="shared" si="3"/>
        <v>0.86460674157303374</v>
      </c>
      <c r="Q7" s="5">
        <f t="shared" si="4"/>
        <v>0.98713450292397664</v>
      </c>
      <c r="R7" s="5">
        <f t="shared" si="5"/>
        <v>0.84400000000000008</v>
      </c>
    </row>
    <row r="8" spans="1:18" x14ac:dyDescent="0.25">
      <c r="A8" s="3">
        <v>4</v>
      </c>
      <c r="B8" s="4">
        <v>46266</v>
      </c>
      <c r="C8" s="3" t="s">
        <v>25</v>
      </c>
      <c r="D8" s="3" t="s">
        <v>19</v>
      </c>
      <c r="E8" s="3" t="s">
        <v>22</v>
      </c>
      <c r="F8" s="3">
        <v>651</v>
      </c>
      <c r="G8" s="3">
        <v>623</v>
      </c>
      <c r="H8" s="3">
        <v>28</v>
      </c>
      <c r="I8" s="5">
        <f t="shared" si="1"/>
        <v>4.3010752688172046E-2</v>
      </c>
      <c r="J8" s="6">
        <f t="shared" si="6"/>
        <v>43010.752688172048</v>
      </c>
      <c r="K8" s="7">
        <v>0.62</v>
      </c>
      <c r="L8" s="3">
        <v>416</v>
      </c>
      <c r="M8" s="3">
        <v>450</v>
      </c>
      <c r="N8" s="3">
        <v>34</v>
      </c>
      <c r="O8" s="5">
        <f t="shared" si="2"/>
        <v>0.9244444444444444</v>
      </c>
      <c r="P8" s="5">
        <f t="shared" si="3"/>
        <v>0.97024038461538464</v>
      </c>
      <c r="Q8" s="5">
        <f t="shared" si="4"/>
        <v>0.956989247311828</v>
      </c>
      <c r="R8" s="5">
        <f t="shared" si="5"/>
        <v>0.85835555555555565</v>
      </c>
    </row>
    <row r="9" spans="1:18" x14ac:dyDescent="0.25">
      <c r="A9" s="3">
        <v>5</v>
      </c>
      <c r="B9" s="4">
        <v>46266</v>
      </c>
      <c r="C9" s="3" t="s">
        <v>25</v>
      </c>
      <c r="D9" s="3" t="s">
        <v>21</v>
      </c>
      <c r="E9" s="3" t="s">
        <v>34</v>
      </c>
      <c r="F9" s="3">
        <v>655</v>
      </c>
      <c r="G9" s="3">
        <v>635</v>
      </c>
      <c r="H9" s="3">
        <v>20</v>
      </c>
      <c r="I9" s="5">
        <f t="shared" si="1"/>
        <v>3.0534351145038167E-2</v>
      </c>
      <c r="J9" s="6">
        <f t="shared" si="6"/>
        <v>30534.351145038167</v>
      </c>
      <c r="K9" s="7">
        <v>0.55000000000000004</v>
      </c>
      <c r="L9" s="3">
        <v>388</v>
      </c>
      <c r="M9" s="3">
        <v>450</v>
      </c>
      <c r="N9" s="3">
        <v>62</v>
      </c>
      <c r="O9" s="5">
        <f t="shared" si="2"/>
        <v>0.86222222222222222</v>
      </c>
      <c r="P9" s="5">
        <f t="shared" si="3"/>
        <v>0.92847938144329911</v>
      </c>
      <c r="Q9" s="5">
        <f t="shared" si="4"/>
        <v>0.96946564885496178</v>
      </c>
      <c r="R9" s="5">
        <f t="shared" si="5"/>
        <v>0.7761111111111112</v>
      </c>
    </row>
    <row r="10" spans="1:18" x14ac:dyDescent="0.25">
      <c r="A10" s="3">
        <v>6</v>
      </c>
      <c r="B10" s="4">
        <v>46266</v>
      </c>
      <c r="C10" s="3" t="s">
        <v>25</v>
      </c>
      <c r="D10" s="3" t="s">
        <v>23</v>
      </c>
      <c r="E10" s="3" t="s">
        <v>20</v>
      </c>
      <c r="F10" s="3">
        <v>268</v>
      </c>
      <c r="G10" s="3">
        <v>258</v>
      </c>
      <c r="H10" s="3">
        <v>10</v>
      </c>
      <c r="I10" s="5">
        <f t="shared" si="1"/>
        <v>3.7313432835820892E-2</v>
      </c>
      <c r="J10" s="6">
        <f t="shared" si="6"/>
        <v>37313.432835820895</v>
      </c>
      <c r="K10" s="7">
        <v>1.38</v>
      </c>
      <c r="L10" s="3">
        <v>387</v>
      </c>
      <c r="M10" s="3">
        <v>450</v>
      </c>
      <c r="N10" s="3">
        <v>63</v>
      </c>
      <c r="O10" s="5">
        <f t="shared" si="2"/>
        <v>0.86</v>
      </c>
      <c r="P10" s="5">
        <f t="shared" si="3"/>
        <v>0.95565891472868214</v>
      </c>
      <c r="Q10" s="5">
        <f t="shared" si="4"/>
        <v>0.96268656716417911</v>
      </c>
      <c r="R10" s="5">
        <f t="shared" si="5"/>
        <v>0.79120000000000001</v>
      </c>
    </row>
    <row r="11" spans="1:18" x14ac:dyDescent="0.25">
      <c r="A11" s="3">
        <v>7</v>
      </c>
      <c r="B11" s="4">
        <v>46266</v>
      </c>
      <c r="C11" s="3" t="s">
        <v>28</v>
      </c>
      <c r="D11" s="3" t="s">
        <v>19</v>
      </c>
      <c r="E11" s="3" t="s">
        <v>35</v>
      </c>
      <c r="F11" s="3">
        <v>344</v>
      </c>
      <c r="G11" s="3">
        <v>341</v>
      </c>
      <c r="H11" s="3">
        <v>3</v>
      </c>
      <c r="I11" s="5">
        <f t="shared" si="1"/>
        <v>8.7209302325581394E-3</v>
      </c>
      <c r="J11" s="6">
        <f t="shared" si="6"/>
        <v>8720.9302325581393</v>
      </c>
      <c r="K11" s="7">
        <v>1.05</v>
      </c>
      <c r="L11" s="3">
        <v>420</v>
      </c>
      <c r="M11" s="3">
        <v>450</v>
      </c>
      <c r="N11" s="3">
        <v>30</v>
      </c>
      <c r="O11" s="5">
        <f t="shared" si="2"/>
        <v>0.93333333333333335</v>
      </c>
      <c r="P11" s="5">
        <f t="shared" si="3"/>
        <v>0.86</v>
      </c>
      <c r="Q11" s="5">
        <f t="shared" si="4"/>
        <v>0.99127906976744184</v>
      </c>
      <c r="R11" s="5">
        <f t="shared" si="5"/>
        <v>0.79566666666666663</v>
      </c>
    </row>
    <row r="12" spans="1:18" x14ac:dyDescent="0.25">
      <c r="A12" s="3">
        <v>8</v>
      </c>
      <c r="B12" s="4">
        <v>46266</v>
      </c>
      <c r="C12" s="3" t="s">
        <v>28</v>
      </c>
      <c r="D12" s="3" t="s">
        <v>21</v>
      </c>
      <c r="E12" s="3" t="s">
        <v>24</v>
      </c>
      <c r="F12" s="3">
        <v>248</v>
      </c>
      <c r="G12" s="3">
        <v>244</v>
      </c>
      <c r="H12" s="3">
        <v>4</v>
      </c>
      <c r="I12" s="5">
        <f t="shared" si="1"/>
        <v>1.6129032258064516E-2</v>
      </c>
      <c r="J12" s="6">
        <f t="shared" si="6"/>
        <v>16129.032258064515</v>
      </c>
      <c r="K12" s="7">
        <v>1.31</v>
      </c>
      <c r="L12" s="3">
        <v>413</v>
      </c>
      <c r="M12" s="3">
        <v>450</v>
      </c>
      <c r="N12" s="3">
        <v>37</v>
      </c>
      <c r="O12" s="5">
        <f t="shared" si="2"/>
        <v>0.9177777777777778</v>
      </c>
      <c r="P12" s="5">
        <f t="shared" si="3"/>
        <v>0.78663438256658591</v>
      </c>
      <c r="Q12" s="5">
        <f t="shared" si="4"/>
        <v>0.9838709677419355</v>
      </c>
      <c r="R12" s="5">
        <f t="shared" si="5"/>
        <v>0.71031111111111112</v>
      </c>
    </row>
    <row r="13" spans="1:18" x14ac:dyDescent="0.25">
      <c r="A13" s="3">
        <v>9</v>
      </c>
      <c r="B13" s="4">
        <v>46266</v>
      </c>
      <c r="C13" s="3" t="s">
        <v>28</v>
      </c>
      <c r="D13" s="3" t="s">
        <v>23</v>
      </c>
      <c r="E13" s="3" t="s">
        <v>35</v>
      </c>
      <c r="F13" s="3">
        <v>836</v>
      </c>
      <c r="G13" s="3">
        <v>811</v>
      </c>
      <c r="H13" s="3">
        <v>25</v>
      </c>
      <c r="I13" s="5">
        <f t="shared" si="1"/>
        <v>2.9904306220095694E-2</v>
      </c>
      <c r="J13" s="6">
        <f t="shared" si="6"/>
        <v>29904.306220095692</v>
      </c>
      <c r="K13" s="7">
        <v>0.49</v>
      </c>
      <c r="L13" s="3">
        <v>436</v>
      </c>
      <c r="M13" s="3">
        <v>450</v>
      </c>
      <c r="N13" s="3">
        <v>14</v>
      </c>
      <c r="O13" s="5">
        <f t="shared" si="2"/>
        <v>0.96888888888888891</v>
      </c>
      <c r="P13" s="5">
        <f t="shared" si="3"/>
        <v>0.93954128440366969</v>
      </c>
      <c r="Q13" s="5">
        <f t="shared" si="4"/>
        <v>0.97009569377990434</v>
      </c>
      <c r="R13" s="5">
        <f t="shared" si="5"/>
        <v>0.88308888888888892</v>
      </c>
    </row>
    <row r="14" spans="1:18" x14ac:dyDescent="0.25">
      <c r="A14" s="3">
        <v>10</v>
      </c>
      <c r="B14" s="4">
        <v>46266</v>
      </c>
      <c r="C14" s="3" t="s">
        <v>30</v>
      </c>
      <c r="D14" s="3" t="s">
        <v>19</v>
      </c>
      <c r="E14" s="3" t="s">
        <v>20</v>
      </c>
      <c r="F14" s="3">
        <v>362</v>
      </c>
      <c r="G14" s="3">
        <v>354</v>
      </c>
      <c r="H14" s="3">
        <v>8</v>
      </c>
      <c r="I14" s="5">
        <f t="shared" si="1"/>
        <v>2.2099447513812154E-2</v>
      </c>
      <c r="J14" s="6">
        <f t="shared" si="6"/>
        <v>22099.447513812152</v>
      </c>
      <c r="K14" s="7">
        <v>0.96</v>
      </c>
      <c r="L14" s="3">
        <v>434</v>
      </c>
      <c r="M14" s="3">
        <v>450</v>
      </c>
      <c r="N14" s="3">
        <v>16</v>
      </c>
      <c r="O14" s="5">
        <f t="shared" si="2"/>
        <v>0.96444444444444444</v>
      </c>
      <c r="P14" s="5">
        <f t="shared" si="3"/>
        <v>0.80073732718894008</v>
      </c>
      <c r="Q14" s="5">
        <f t="shared" si="4"/>
        <v>0.97790055248618779</v>
      </c>
      <c r="R14" s="5">
        <f t="shared" si="5"/>
        <v>0.75519999999999998</v>
      </c>
    </row>
    <row r="15" spans="1:18" x14ac:dyDescent="0.25">
      <c r="A15" s="3">
        <v>11</v>
      </c>
      <c r="B15" s="4">
        <v>46266</v>
      </c>
      <c r="C15" s="3" t="s">
        <v>30</v>
      </c>
      <c r="D15" s="3" t="s">
        <v>21</v>
      </c>
      <c r="E15" s="3" t="s">
        <v>32</v>
      </c>
      <c r="F15" s="3">
        <v>438</v>
      </c>
      <c r="G15" s="3">
        <v>428</v>
      </c>
      <c r="H15" s="3">
        <v>10</v>
      </c>
      <c r="I15" s="5">
        <f t="shared" si="1"/>
        <v>2.2831050228310501E-2</v>
      </c>
      <c r="J15" s="6">
        <f t="shared" si="6"/>
        <v>22831.050228310502</v>
      </c>
      <c r="K15" s="7">
        <v>0.86</v>
      </c>
      <c r="L15" s="3">
        <v>408</v>
      </c>
      <c r="M15" s="3">
        <v>450</v>
      </c>
      <c r="N15" s="3">
        <v>42</v>
      </c>
      <c r="O15" s="5">
        <f t="shared" si="2"/>
        <v>0.90666666666666662</v>
      </c>
      <c r="P15" s="5">
        <f t="shared" si="3"/>
        <v>0.92323529411764704</v>
      </c>
      <c r="Q15" s="5">
        <f t="shared" si="4"/>
        <v>0.97716894977168944</v>
      </c>
      <c r="R15" s="5">
        <f t="shared" si="5"/>
        <v>0.81795555555555544</v>
      </c>
    </row>
    <row r="16" spans="1:18" x14ac:dyDescent="0.25">
      <c r="A16" s="3">
        <v>12</v>
      </c>
      <c r="B16" s="4">
        <v>46266</v>
      </c>
      <c r="C16" s="3" t="s">
        <v>30</v>
      </c>
      <c r="D16" s="3" t="s">
        <v>23</v>
      </c>
      <c r="E16" s="3" t="s">
        <v>29</v>
      </c>
      <c r="F16" s="3">
        <v>387</v>
      </c>
      <c r="G16" s="3">
        <v>374</v>
      </c>
      <c r="H16" s="3">
        <v>13</v>
      </c>
      <c r="I16" s="5">
        <f t="shared" si="1"/>
        <v>3.3591731266149873E-2</v>
      </c>
      <c r="J16" s="6">
        <f t="shared" si="6"/>
        <v>33591.731266149873</v>
      </c>
      <c r="K16" s="7">
        <v>1.06</v>
      </c>
      <c r="L16" s="3">
        <v>402</v>
      </c>
      <c r="M16" s="3">
        <v>450</v>
      </c>
      <c r="N16" s="3">
        <v>48</v>
      </c>
      <c r="O16" s="5">
        <f t="shared" si="2"/>
        <v>0.89333333333333331</v>
      </c>
      <c r="P16" s="5">
        <f t="shared" si="3"/>
        <v>1.0204477611940299</v>
      </c>
      <c r="Q16" s="5">
        <f t="shared" si="4"/>
        <v>0.96640826873385011</v>
      </c>
      <c r="R16" s="5">
        <f t="shared" si="5"/>
        <v>0.88097777777777786</v>
      </c>
    </row>
    <row r="17" spans="1:18" x14ac:dyDescent="0.25">
      <c r="A17" s="3">
        <v>13</v>
      </c>
      <c r="B17" s="4">
        <v>46266</v>
      </c>
      <c r="C17" s="3" t="s">
        <v>33</v>
      </c>
      <c r="D17" s="3" t="s">
        <v>19</v>
      </c>
      <c r="E17" s="3" t="s">
        <v>22</v>
      </c>
      <c r="F17" s="3">
        <v>288</v>
      </c>
      <c r="G17" s="3">
        <v>276</v>
      </c>
      <c r="H17" s="3">
        <v>12</v>
      </c>
      <c r="I17" s="5">
        <f t="shared" si="1"/>
        <v>4.1666666666666664E-2</v>
      </c>
      <c r="J17" s="6">
        <f t="shared" si="6"/>
        <v>41666.666666666664</v>
      </c>
      <c r="K17" s="7">
        <v>1.07</v>
      </c>
      <c r="L17" s="3">
        <v>393</v>
      </c>
      <c r="M17" s="3">
        <v>450</v>
      </c>
      <c r="N17" s="3">
        <v>57</v>
      </c>
      <c r="O17" s="5">
        <f t="shared" si="2"/>
        <v>0.87333333333333329</v>
      </c>
      <c r="P17" s="5">
        <f t="shared" si="3"/>
        <v>0.78412213740458026</v>
      </c>
      <c r="Q17" s="5">
        <f t="shared" si="4"/>
        <v>0.95833333333333337</v>
      </c>
      <c r="R17" s="5">
        <f t="shared" si="5"/>
        <v>0.65626666666666678</v>
      </c>
    </row>
    <row r="18" spans="1:18" x14ac:dyDescent="0.25">
      <c r="A18" s="3">
        <v>14</v>
      </c>
      <c r="B18" s="4">
        <v>46266</v>
      </c>
      <c r="C18" s="3" t="s">
        <v>33</v>
      </c>
      <c r="D18" s="3" t="s">
        <v>21</v>
      </c>
      <c r="E18" s="3" t="s">
        <v>29</v>
      </c>
      <c r="F18" s="3">
        <v>433</v>
      </c>
      <c r="G18" s="3">
        <v>414</v>
      </c>
      <c r="H18" s="3">
        <v>19</v>
      </c>
      <c r="I18" s="5">
        <f t="shared" si="1"/>
        <v>4.3879907621247112E-2</v>
      </c>
      <c r="J18" s="6">
        <f t="shared" si="6"/>
        <v>43879.907621247112</v>
      </c>
      <c r="K18" s="7">
        <v>0.81</v>
      </c>
      <c r="L18" s="3">
        <v>416</v>
      </c>
      <c r="M18" s="3">
        <v>450</v>
      </c>
      <c r="N18" s="3">
        <v>34</v>
      </c>
      <c r="O18" s="5">
        <f t="shared" si="2"/>
        <v>0.9244444444444444</v>
      </c>
      <c r="P18" s="5">
        <f t="shared" si="3"/>
        <v>0.84310096153846159</v>
      </c>
      <c r="Q18" s="5">
        <f t="shared" si="4"/>
        <v>0.95612009237875284</v>
      </c>
      <c r="R18" s="5">
        <f t="shared" si="5"/>
        <v>0.74519999999999997</v>
      </c>
    </row>
    <row r="19" spans="1:18" x14ac:dyDescent="0.25">
      <c r="A19" s="3">
        <v>15</v>
      </c>
      <c r="B19" s="4">
        <v>46266</v>
      </c>
      <c r="C19" s="3" t="s">
        <v>33</v>
      </c>
      <c r="D19" s="3" t="s">
        <v>23</v>
      </c>
      <c r="E19" s="3" t="s">
        <v>34</v>
      </c>
      <c r="F19" s="3">
        <v>243</v>
      </c>
      <c r="G19" s="3">
        <v>242</v>
      </c>
      <c r="H19" s="3">
        <v>1</v>
      </c>
      <c r="I19" s="5">
        <f t="shared" si="1"/>
        <v>4.11522633744856E-3</v>
      </c>
      <c r="J19" s="6">
        <f t="shared" si="6"/>
        <v>4115.2263374485601</v>
      </c>
      <c r="K19" s="7">
        <v>1.39</v>
      </c>
      <c r="L19" s="3">
        <v>425</v>
      </c>
      <c r="M19" s="3">
        <v>450</v>
      </c>
      <c r="N19" s="3">
        <v>25</v>
      </c>
      <c r="O19" s="5">
        <f t="shared" si="2"/>
        <v>0.94444444444444442</v>
      </c>
      <c r="P19" s="5">
        <f t="shared" si="3"/>
        <v>0.79475294117647055</v>
      </c>
      <c r="Q19" s="5">
        <f t="shared" si="4"/>
        <v>0.99588477366255146</v>
      </c>
      <c r="R19" s="5">
        <f t="shared" si="5"/>
        <v>0.74751111111111102</v>
      </c>
    </row>
    <row r="20" spans="1:18" x14ac:dyDescent="0.25">
      <c r="A20" s="3">
        <v>16</v>
      </c>
      <c r="B20" s="4">
        <v>46267</v>
      </c>
      <c r="C20" s="3" t="s">
        <v>18</v>
      </c>
      <c r="D20" s="3" t="s">
        <v>19</v>
      </c>
      <c r="E20" s="3" t="s">
        <v>32</v>
      </c>
      <c r="F20" s="3">
        <v>289</v>
      </c>
      <c r="G20" s="3">
        <v>277</v>
      </c>
      <c r="H20" s="3">
        <v>12</v>
      </c>
      <c r="I20" s="5">
        <f t="shared" si="1"/>
        <v>4.1522491349480967E-2</v>
      </c>
      <c r="J20" s="6">
        <f t="shared" si="6"/>
        <v>41522.491349480966</v>
      </c>
      <c r="K20" s="7">
        <v>1.22</v>
      </c>
      <c r="L20" s="3">
        <v>443</v>
      </c>
      <c r="M20" s="3">
        <v>450</v>
      </c>
      <c r="N20" s="3">
        <v>7</v>
      </c>
      <c r="O20" s="5">
        <f t="shared" si="2"/>
        <v>0.98444444444444446</v>
      </c>
      <c r="P20" s="5">
        <f t="shared" si="3"/>
        <v>0.79589164785553046</v>
      </c>
      <c r="Q20" s="5">
        <f t="shared" si="4"/>
        <v>0.95847750865051906</v>
      </c>
      <c r="R20" s="5">
        <f t="shared" si="5"/>
        <v>0.75097777777777786</v>
      </c>
    </row>
    <row r="21" spans="1:18" x14ac:dyDescent="0.25">
      <c r="A21" s="3">
        <v>17</v>
      </c>
      <c r="B21" s="4">
        <v>46267</v>
      </c>
      <c r="C21" s="3" t="s">
        <v>18</v>
      </c>
      <c r="D21" s="3" t="s">
        <v>21</v>
      </c>
      <c r="E21" s="3" t="s">
        <v>22</v>
      </c>
      <c r="F21" s="3">
        <v>225</v>
      </c>
      <c r="G21" s="3">
        <v>222</v>
      </c>
      <c r="H21" s="3">
        <v>3</v>
      </c>
      <c r="I21" s="5">
        <f t="shared" si="1"/>
        <v>1.3333333333333334E-2</v>
      </c>
      <c r="J21" s="6">
        <f t="shared" si="6"/>
        <v>13333.333333333334</v>
      </c>
      <c r="K21" s="7">
        <v>1.71</v>
      </c>
      <c r="L21" s="3">
        <v>413</v>
      </c>
      <c r="M21" s="3">
        <v>450</v>
      </c>
      <c r="N21" s="3">
        <v>37</v>
      </c>
      <c r="O21" s="5">
        <f t="shared" si="2"/>
        <v>0.9177777777777778</v>
      </c>
      <c r="P21" s="5">
        <f t="shared" si="3"/>
        <v>0.93159806295399517</v>
      </c>
      <c r="Q21" s="5">
        <f t="shared" si="4"/>
        <v>0.98666666666666669</v>
      </c>
      <c r="R21" s="5">
        <f t="shared" si="5"/>
        <v>0.84360000000000002</v>
      </c>
    </row>
    <row r="22" spans="1:18" x14ac:dyDescent="0.25">
      <c r="A22" s="3">
        <v>18</v>
      </c>
      <c r="B22" s="4">
        <v>46267</v>
      </c>
      <c r="C22" s="3" t="s">
        <v>18</v>
      </c>
      <c r="D22" s="3" t="s">
        <v>23</v>
      </c>
      <c r="E22" s="3" t="s">
        <v>26</v>
      </c>
      <c r="F22" s="3">
        <v>902</v>
      </c>
      <c r="G22" s="3">
        <v>895</v>
      </c>
      <c r="H22" s="3">
        <v>7</v>
      </c>
      <c r="I22" s="5">
        <f t="shared" si="1"/>
        <v>7.7605321507760536E-3</v>
      </c>
      <c r="J22" s="6">
        <f t="shared" si="6"/>
        <v>7760.5321507760536</v>
      </c>
      <c r="K22" s="7">
        <v>0.44</v>
      </c>
      <c r="L22" s="3">
        <v>412</v>
      </c>
      <c r="M22" s="3">
        <v>450</v>
      </c>
      <c r="N22" s="3">
        <v>38</v>
      </c>
      <c r="O22" s="5">
        <f t="shared" si="2"/>
        <v>0.91555555555555557</v>
      </c>
      <c r="P22" s="5">
        <f t="shared" si="3"/>
        <v>0.96330097087378641</v>
      </c>
      <c r="Q22" s="5">
        <f t="shared" si="4"/>
        <v>0.9922394678492239</v>
      </c>
      <c r="R22" s="5">
        <f t="shared" si="5"/>
        <v>0.87511111111111106</v>
      </c>
    </row>
    <row r="23" spans="1:18" x14ac:dyDescent="0.25">
      <c r="A23" s="3">
        <v>19</v>
      </c>
      <c r="B23" s="4">
        <v>46267</v>
      </c>
      <c r="C23" s="3" t="s">
        <v>25</v>
      </c>
      <c r="D23" s="3" t="s">
        <v>19</v>
      </c>
      <c r="E23" s="3" t="s">
        <v>29</v>
      </c>
      <c r="F23" s="3">
        <v>661</v>
      </c>
      <c r="G23" s="3">
        <v>647</v>
      </c>
      <c r="H23" s="3">
        <v>14</v>
      </c>
      <c r="I23" s="5">
        <f t="shared" si="1"/>
        <v>2.118003025718608E-2</v>
      </c>
      <c r="J23" s="6">
        <f t="shared" si="6"/>
        <v>21180.030257186081</v>
      </c>
      <c r="K23" s="7">
        <v>0.47</v>
      </c>
      <c r="L23" s="3">
        <v>397</v>
      </c>
      <c r="M23" s="3">
        <v>450</v>
      </c>
      <c r="N23" s="3">
        <v>53</v>
      </c>
      <c r="O23" s="5">
        <f t="shared" si="2"/>
        <v>0.88222222222222224</v>
      </c>
      <c r="P23" s="5">
        <f t="shared" si="3"/>
        <v>0.78254408060453395</v>
      </c>
      <c r="Q23" s="5">
        <f t="shared" si="4"/>
        <v>0.97881996974281393</v>
      </c>
      <c r="R23" s="5">
        <f t="shared" si="5"/>
        <v>0.67575555555555555</v>
      </c>
    </row>
    <row r="24" spans="1:18" x14ac:dyDescent="0.25">
      <c r="A24" s="3">
        <v>20</v>
      </c>
      <c r="B24" s="4">
        <v>46267</v>
      </c>
      <c r="C24" s="3" t="s">
        <v>25</v>
      </c>
      <c r="D24" s="3" t="s">
        <v>21</v>
      </c>
      <c r="E24" s="3" t="s">
        <v>35</v>
      </c>
      <c r="F24" s="3">
        <v>303</v>
      </c>
      <c r="G24" s="3">
        <v>294</v>
      </c>
      <c r="H24" s="3">
        <v>9</v>
      </c>
      <c r="I24" s="5">
        <f t="shared" si="1"/>
        <v>2.9702970297029702E-2</v>
      </c>
      <c r="J24" s="6">
        <f t="shared" si="6"/>
        <v>29702.9702970297</v>
      </c>
      <c r="K24" s="7">
        <v>1.38</v>
      </c>
      <c r="L24" s="3">
        <v>427</v>
      </c>
      <c r="M24" s="3">
        <v>450</v>
      </c>
      <c r="N24" s="3">
        <v>23</v>
      </c>
      <c r="O24" s="5">
        <f t="shared" si="2"/>
        <v>0.94888888888888889</v>
      </c>
      <c r="P24" s="5">
        <f t="shared" si="3"/>
        <v>0.97925058548009369</v>
      </c>
      <c r="Q24" s="5">
        <f t="shared" si="4"/>
        <v>0.97029702970297027</v>
      </c>
      <c r="R24" s="5">
        <f t="shared" si="5"/>
        <v>0.90159999999999996</v>
      </c>
    </row>
    <row r="25" spans="1:18" x14ac:dyDescent="0.25">
      <c r="A25" s="3">
        <v>21</v>
      </c>
      <c r="B25" s="4">
        <v>46267</v>
      </c>
      <c r="C25" s="3" t="s">
        <v>25</v>
      </c>
      <c r="D25" s="3" t="s">
        <v>23</v>
      </c>
      <c r="E25" s="3" t="s">
        <v>31</v>
      </c>
      <c r="F25" s="3">
        <v>244</v>
      </c>
      <c r="G25" s="3">
        <v>238</v>
      </c>
      <c r="H25" s="3">
        <v>6</v>
      </c>
      <c r="I25" s="5">
        <f t="shared" si="1"/>
        <v>2.4590163934426229E-2</v>
      </c>
      <c r="J25" s="6">
        <f t="shared" si="6"/>
        <v>24590.163934426229</v>
      </c>
      <c r="K25" s="7">
        <v>1.58</v>
      </c>
      <c r="L25" s="3">
        <v>389</v>
      </c>
      <c r="M25" s="3">
        <v>450</v>
      </c>
      <c r="N25" s="3">
        <v>61</v>
      </c>
      <c r="O25" s="5">
        <f t="shared" si="2"/>
        <v>0.86444444444444446</v>
      </c>
      <c r="P25" s="5">
        <f t="shared" si="3"/>
        <v>0.9910539845758356</v>
      </c>
      <c r="Q25" s="5">
        <f t="shared" si="4"/>
        <v>0.97540983606557374</v>
      </c>
      <c r="R25" s="5">
        <f t="shared" si="5"/>
        <v>0.83564444444444452</v>
      </c>
    </row>
    <row r="26" spans="1:18" x14ac:dyDescent="0.25">
      <c r="A26" s="3">
        <v>22</v>
      </c>
      <c r="B26" s="4">
        <v>46267</v>
      </c>
      <c r="C26" s="3" t="s">
        <v>28</v>
      </c>
      <c r="D26" s="3" t="s">
        <v>19</v>
      </c>
      <c r="E26" s="3" t="s">
        <v>34</v>
      </c>
      <c r="F26" s="3">
        <v>638</v>
      </c>
      <c r="G26" s="3">
        <v>629</v>
      </c>
      <c r="H26" s="3">
        <v>9</v>
      </c>
      <c r="I26" s="5">
        <f t="shared" si="1"/>
        <v>1.4106583072100314E-2</v>
      </c>
      <c r="J26" s="6">
        <f t="shared" si="6"/>
        <v>14106.583072100315</v>
      </c>
      <c r="K26" s="7">
        <v>0.67</v>
      </c>
      <c r="L26" s="3">
        <v>421</v>
      </c>
      <c r="M26" s="3">
        <v>450</v>
      </c>
      <c r="N26" s="3">
        <v>29</v>
      </c>
      <c r="O26" s="5">
        <f t="shared" si="2"/>
        <v>0.93555555555555558</v>
      </c>
      <c r="P26" s="5">
        <f t="shared" si="3"/>
        <v>1.0153444180522566</v>
      </c>
      <c r="Q26" s="5">
        <f t="shared" si="4"/>
        <v>0.98589341692789967</v>
      </c>
      <c r="R26" s="5">
        <f t="shared" si="5"/>
        <v>0.93651111111111129</v>
      </c>
    </row>
    <row r="27" spans="1:18" x14ac:dyDescent="0.25">
      <c r="A27" s="3">
        <v>23</v>
      </c>
      <c r="B27" s="4">
        <v>46267</v>
      </c>
      <c r="C27" s="3" t="s">
        <v>28</v>
      </c>
      <c r="D27" s="3" t="s">
        <v>21</v>
      </c>
      <c r="E27" s="3" t="s">
        <v>34</v>
      </c>
      <c r="F27" s="3">
        <v>985</v>
      </c>
      <c r="G27" s="3">
        <v>968</v>
      </c>
      <c r="H27" s="3">
        <v>17</v>
      </c>
      <c r="I27" s="5">
        <f t="shared" si="1"/>
        <v>1.7258883248730966E-2</v>
      </c>
      <c r="J27" s="6">
        <f t="shared" si="6"/>
        <v>17258.883248730966</v>
      </c>
      <c r="K27" s="7">
        <v>0.39</v>
      </c>
      <c r="L27" s="3">
        <v>441</v>
      </c>
      <c r="M27" s="3">
        <v>450</v>
      </c>
      <c r="N27" s="3">
        <v>9</v>
      </c>
      <c r="O27" s="5">
        <f t="shared" si="2"/>
        <v>0.98</v>
      </c>
      <c r="P27" s="5">
        <f t="shared" si="3"/>
        <v>0.87108843537414971</v>
      </c>
      <c r="Q27" s="5">
        <f t="shared" si="4"/>
        <v>0.98274111675126907</v>
      </c>
      <c r="R27" s="5">
        <f t="shared" si="5"/>
        <v>0.83893333333333342</v>
      </c>
    </row>
    <row r="28" spans="1:18" x14ac:dyDescent="0.25">
      <c r="A28" s="3">
        <v>24</v>
      </c>
      <c r="B28" s="4">
        <v>46267</v>
      </c>
      <c r="C28" s="3" t="s">
        <v>28</v>
      </c>
      <c r="D28" s="3" t="s">
        <v>23</v>
      </c>
      <c r="E28" s="3" t="s">
        <v>22</v>
      </c>
      <c r="F28" s="3">
        <v>388</v>
      </c>
      <c r="G28" s="3">
        <v>382</v>
      </c>
      <c r="H28" s="3">
        <v>6</v>
      </c>
      <c r="I28" s="5">
        <f t="shared" si="1"/>
        <v>1.5463917525773196E-2</v>
      </c>
      <c r="J28" s="6">
        <f t="shared" si="6"/>
        <v>15463.917525773197</v>
      </c>
      <c r="K28" s="7">
        <v>1.1100000000000001</v>
      </c>
      <c r="L28" s="3">
        <v>431</v>
      </c>
      <c r="M28" s="3">
        <v>450</v>
      </c>
      <c r="N28" s="3">
        <v>19</v>
      </c>
      <c r="O28" s="5">
        <f t="shared" si="2"/>
        <v>0.95777777777777773</v>
      </c>
      <c r="P28" s="5">
        <f t="shared" si="3"/>
        <v>0.99925754060324845</v>
      </c>
      <c r="Q28" s="5">
        <f t="shared" si="4"/>
        <v>0.98453608247422686</v>
      </c>
      <c r="R28" s="5">
        <f t="shared" si="5"/>
        <v>0.94226666666666692</v>
      </c>
    </row>
    <row r="29" spans="1:18" x14ac:dyDescent="0.25">
      <c r="A29" s="3">
        <v>25</v>
      </c>
      <c r="B29" s="4">
        <v>46267</v>
      </c>
      <c r="C29" s="3" t="s">
        <v>30</v>
      </c>
      <c r="D29" s="3" t="s">
        <v>19</v>
      </c>
      <c r="E29" s="3" t="s">
        <v>26</v>
      </c>
      <c r="F29" s="3">
        <v>385</v>
      </c>
      <c r="G29" s="3">
        <v>381</v>
      </c>
      <c r="H29" s="3">
        <v>4</v>
      </c>
      <c r="I29" s="5">
        <f t="shared" si="1"/>
        <v>1.038961038961039E-2</v>
      </c>
      <c r="J29" s="6">
        <f t="shared" si="6"/>
        <v>10389.61038961039</v>
      </c>
      <c r="K29" s="7">
        <v>1.1100000000000001</v>
      </c>
      <c r="L29" s="3">
        <v>434</v>
      </c>
      <c r="M29" s="3">
        <v>450</v>
      </c>
      <c r="N29" s="3">
        <v>16</v>
      </c>
      <c r="O29" s="5">
        <f t="shared" si="2"/>
        <v>0.96444444444444444</v>
      </c>
      <c r="P29" s="5">
        <f t="shared" si="3"/>
        <v>0.98467741935483877</v>
      </c>
      <c r="Q29" s="5">
        <f t="shared" si="4"/>
        <v>0.98961038961038961</v>
      </c>
      <c r="R29" s="5">
        <f t="shared" si="5"/>
        <v>0.93980000000000008</v>
      </c>
    </row>
    <row r="30" spans="1:18" x14ac:dyDescent="0.25">
      <c r="A30" s="3">
        <v>26</v>
      </c>
      <c r="B30" s="4">
        <v>46267</v>
      </c>
      <c r="C30" s="3" t="s">
        <v>30</v>
      </c>
      <c r="D30" s="3" t="s">
        <v>21</v>
      </c>
      <c r="E30" s="3" t="s">
        <v>24</v>
      </c>
      <c r="F30" s="3">
        <v>769</v>
      </c>
      <c r="G30" s="3">
        <v>745</v>
      </c>
      <c r="H30" s="3">
        <v>24</v>
      </c>
      <c r="I30" s="5">
        <f t="shared" si="1"/>
        <v>3.1209362808842653E-2</v>
      </c>
      <c r="J30" s="6">
        <f t="shared" si="6"/>
        <v>31209.362808842652</v>
      </c>
      <c r="K30" s="7">
        <v>0.5</v>
      </c>
      <c r="L30" s="3">
        <v>425</v>
      </c>
      <c r="M30" s="3">
        <v>450</v>
      </c>
      <c r="N30" s="3">
        <v>25</v>
      </c>
      <c r="O30" s="5">
        <f t="shared" si="2"/>
        <v>0.94444444444444442</v>
      </c>
      <c r="P30" s="5">
        <f t="shared" si="3"/>
        <v>0.90470588235294114</v>
      </c>
      <c r="Q30" s="5">
        <f t="shared" si="4"/>
        <v>0.96879063719115732</v>
      </c>
      <c r="R30" s="5">
        <f t="shared" si="5"/>
        <v>0.82777777777777761</v>
      </c>
    </row>
    <row r="31" spans="1:18" x14ac:dyDescent="0.25">
      <c r="A31" s="3">
        <v>27</v>
      </c>
      <c r="B31" s="4">
        <v>46267</v>
      </c>
      <c r="C31" s="3" t="s">
        <v>30</v>
      </c>
      <c r="D31" s="3" t="s">
        <v>23</v>
      </c>
      <c r="E31" s="3" t="s">
        <v>29</v>
      </c>
      <c r="F31" s="3">
        <v>283</v>
      </c>
      <c r="G31" s="3">
        <v>277</v>
      </c>
      <c r="H31" s="3">
        <v>6</v>
      </c>
      <c r="I31" s="5">
        <f t="shared" si="1"/>
        <v>2.1201413427561839E-2</v>
      </c>
      <c r="J31" s="6">
        <f t="shared" si="6"/>
        <v>21201.413427561838</v>
      </c>
      <c r="K31" s="7">
        <v>1.5</v>
      </c>
      <c r="L31" s="3">
        <v>437</v>
      </c>
      <c r="M31" s="3">
        <v>450</v>
      </c>
      <c r="N31" s="3">
        <v>13</v>
      </c>
      <c r="O31" s="5">
        <f t="shared" si="2"/>
        <v>0.97111111111111115</v>
      </c>
      <c r="P31" s="5">
        <f t="shared" si="3"/>
        <v>0.97139588100686503</v>
      </c>
      <c r="Q31" s="5">
        <f t="shared" si="4"/>
        <v>0.97879858657243812</v>
      </c>
      <c r="R31" s="5">
        <f t="shared" si="5"/>
        <v>0.92333333333333334</v>
      </c>
    </row>
    <row r="32" spans="1:18" x14ac:dyDescent="0.25">
      <c r="A32" s="3">
        <v>28</v>
      </c>
      <c r="B32" s="4">
        <v>46267</v>
      </c>
      <c r="C32" s="3" t="s">
        <v>33</v>
      </c>
      <c r="D32" s="3" t="s">
        <v>19</v>
      </c>
      <c r="E32" s="3" t="s">
        <v>27</v>
      </c>
      <c r="F32" s="3">
        <v>829</v>
      </c>
      <c r="G32" s="3">
        <v>825</v>
      </c>
      <c r="H32" s="3">
        <v>4</v>
      </c>
      <c r="I32" s="5">
        <f t="shared" si="1"/>
        <v>4.8250904704463205E-3</v>
      </c>
      <c r="J32" s="6">
        <f t="shared" si="6"/>
        <v>4825.090470446321</v>
      </c>
      <c r="K32" s="7">
        <v>0.4</v>
      </c>
      <c r="L32" s="3">
        <v>410</v>
      </c>
      <c r="M32" s="3">
        <v>450</v>
      </c>
      <c r="N32" s="3">
        <v>40</v>
      </c>
      <c r="O32" s="5">
        <f t="shared" si="2"/>
        <v>0.91111111111111109</v>
      </c>
      <c r="P32" s="5">
        <f t="shared" si="3"/>
        <v>0.8087804878048781</v>
      </c>
      <c r="Q32" s="5">
        <f t="shared" si="4"/>
        <v>0.99517490952955368</v>
      </c>
      <c r="R32" s="5">
        <f t="shared" si="5"/>
        <v>0.73333333333333339</v>
      </c>
    </row>
    <row r="33" spans="1:18" x14ac:dyDescent="0.25">
      <c r="A33" s="3">
        <v>29</v>
      </c>
      <c r="B33" s="4">
        <v>46267</v>
      </c>
      <c r="C33" s="3" t="s">
        <v>33</v>
      </c>
      <c r="D33" s="3" t="s">
        <v>21</v>
      </c>
      <c r="E33" s="3" t="s">
        <v>24</v>
      </c>
      <c r="F33" s="3">
        <v>453</v>
      </c>
      <c r="G33" s="3">
        <v>441</v>
      </c>
      <c r="H33" s="3">
        <v>12</v>
      </c>
      <c r="I33" s="5">
        <f t="shared" si="1"/>
        <v>2.6490066225165563E-2</v>
      </c>
      <c r="J33" s="6">
        <f t="shared" si="6"/>
        <v>26490.066225165563</v>
      </c>
      <c r="K33" s="7">
        <v>0.83</v>
      </c>
      <c r="L33" s="3">
        <v>433</v>
      </c>
      <c r="M33" s="3">
        <v>450</v>
      </c>
      <c r="N33" s="3">
        <v>17</v>
      </c>
      <c r="O33" s="5">
        <f t="shared" si="2"/>
        <v>0.9622222222222222</v>
      </c>
      <c r="P33" s="5">
        <f t="shared" si="3"/>
        <v>0.86833718244803693</v>
      </c>
      <c r="Q33" s="5">
        <f t="shared" si="4"/>
        <v>0.97350993377483441</v>
      </c>
      <c r="R33" s="5">
        <f t="shared" si="5"/>
        <v>0.8133999999999999</v>
      </c>
    </row>
    <row r="34" spans="1:18" x14ac:dyDescent="0.25">
      <c r="A34" s="3">
        <v>30</v>
      </c>
      <c r="B34" s="4">
        <v>46267</v>
      </c>
      <c r="C34" s="3" t="s">
        <v>33</v>
      </c>
      <c r="D34" s="3" t="s">
        <v>23</v>
      </c>
      <c r="E34" s="3" t="s">
        <v>34</v>
      </c>
      <c r="F34" s="3">
        <v>375</v>
      </c>
      <c r="G34" s="3">
        <v>363</v>
      </c>
      <c r="H34" s="3">
        <v>12</v>
      </c>
      <c r="I34" s="5">
        <f t="shared" si="1"/>
        <v>3.2000000000000001E-2</v>
      </c>
      <c r="J34" s="6">
        <f t="shared" si="6"/>
        <v>32000</v>
      </c>
      <c r="K34" s="7">
        <v>1.05</v>
      </c>
      <c r="L34" s="3">
        <v>415</v>
      </c>
      <c r="M34" s="3">
        <v>450</v>
      </c>
      <c r="N34" s="3">
        <v>35</v>
      </c>
      <c r="O34" s="5">
        <f t="shared" si="2"/>
        <v>0.92222222222222228</v>
      </c>
      <c r="P34" s="5">
        <f t="shared" si="3"/>
        <v>0.9487951807228916</v>
      </c>
      <c r="Q34" s="5">
        <f t="shared" si="4"/>
        <v>0.96799999999999997</v>
      </c>
      <c r="R34" s="5">
        <f t="shared" si="5"/>
        <v>0.84700000000000009</v>
      </c>
    </row>
    <row r="35" spans="1:18" x14ac:dyDescent="0.25">
      <c r="A35" s="3">
        <v>31</v>
      </c>
      <c r="B35" s="4">
        <v>46268</v>
      </c>
      <c r="C35" s="3" t="s">
        <v>18</v>
      </c>
      <c r="D35" s="3" t="s">
        <v>19</v>
      </c>
      <c r="E35" s="3" t="s">
        <v>34</v>
      </c>
      <c r="F35" s="3">
        <v>497</v>
      </c>
      <c r="G35" s="3">
        <v>483</v>
      </c>
      <c r="H35" s="3">
        <v>14</v>
      </c>
      <c r="I35" s="5">
        <f t="shared" si="1"/>
        <v>2.8169014084507043E-2</v>
      </c>
      <c r="J35" s="6">
        <f t="shared" si="6"/>
        <v>28169.014084507042</v>
      </c>
      <c r="K35" s="7">
        <v>0.81</v>
      </c>
      <c r="L35" s="3">
        <v>435</v>
      </c>
      <c r="M35" s="3">
        <v>450</v>
      </c>
      <c r="N35" s="3">
        <v>15</v>
      </c>
      <c r="O35" s="5">
        <f t="shared" si="2"/>
        <v>0.96666666666666667</v>
      </c>
      <c r="P35" s="5">
        <f t="shared" si="3"/>
        <v>0.92544827586206913</v>
      </c>
      <c r="Q35" s="5">
        <f t="shared" si="4"/>
        <v>0.971830985915493</v>
      </c>
      <c r="R35" s="5">
        <f t="shared" si="5"/>
        <v>0.86940000000000017</v>
      </c>
    </row>
    <row r="36" spans="1:18" x14ac:dyDescent="0.25">
      <c r="A36" s="3">
        <v>32</v>
      </c>
      <c r="B36" s="4">
        <v>46268</v>
      </c>
      <c r="C36" s="3" t="s">
        <v>18</v>
      </c>
      <c r="D36" s="3" t="s">
        <v>21</v>
      </c>
      <c r="E36" s="3" t="s">
        <v>20</v>
      </c>
      <c r="F36" s="3">
        <v>451</v>
      </c>
      <c r="G36" s="3">
        <v>437</v>
      </c>
      <c r="H36" s="3">
        <v>14</v>
      </c>
      <c r="I36" s="5">
        <f t="shared" si="1"/>
        <v>3.1042128603104215E-2</v>
      </c>
      <c r="J36" s="6">
        <f t="shared" si="6"/>
        <v>31042.128603104215</v>
      </c>
      <c r="K36" s="7">
        <v>0.81</v>
      </c>
      <c r="L36" s="3">
        <v>424</v>
      </c>
      <c r="M36" s="3">
        <v>450</v>
      </c>
      <c r="N36" s="3">
        <v>26</v>
      </c>
      <c r="O36" s="5">
        <f t="shared" si="2"/>
        <v>0.94222222222222218</v>
      </c>
      <c r="P36" s="5">
        <f t="shared" si="3"/>
        <v>0.86158018867924524</v>
      </c>
      <c r="Q36" s="5">
        <f t="shared" si="4"/>
        <v>0.96895787139689582</v>
      </c>
      <c r="R36" s="5">
        <f t="shared" si="5"/>
        <v>0.78659999999999997</v>
      </c>
    </row>
    <row r="37" spans="1:18" x14ac:dyDescent="0.25">
      <c r="A37" s="3">
        <v>33</v>
      </c>
      <c r="B37" s="4">
        <v>46268</v>
      </c>
      <c r="C37" s="3" t="s">
        <v>18</v>
      </c>
      <c r="D37" s="3" t="s">
        <v>23</v>
      </c>
      <c r="E37" s="3" t="s">
        <v>22</v>
      </c>
      <c r="F37" s="3">
        <v>290</v>
      </c>
      <c r="G37" s="3">
        <v>278</v>
      </c>
      <c r="H37" s="3">
        <v>12</v>
      </c>
      <c r="I37" s="5">
        <f t="shared" si="1"/>
        <v>4.1379310344827586E-2</v>
      </c>
      <c r="J37" s="6">
        <f t="shared" si="6"/>
        <v>41379.310344827587</v>
      </c>
      <c r="K37" s="7">
        <v>1.29</v>
      </c>
      <c r="L37" s="3">
        <v>421</v>
      </c>
      <c r="M37" s="3">
        <v>450</v>
      </c>
      <c r="N37" s="3">
        <v>29</v>
      </c>
      <c r="O37" s="5">
        <f t="shared" si="2"/>
        <v>0.93555555555555558</v>
      </c>
      <c r="P37" s="5">
        <f t="shared" si="3"/>
        <v>0.88859857482185278</v>
      </c>
      <c r="Q37" s="5">
        <f t="shared" si="4"/>
        <v>0.95862068965517244</v>
      </c>
      <c r="R37" s="5">
        <f t="shared" si="5"/>
        <v>0.79693333333333338</v>
      </c>
    </row>
    <row r="38" spans="1:18" x14ac:dyDescent="0.25">
      <c r="A38" s="3">
        <v>34</v>
      </c>
      <c r="B38" s="4">
        <v>46268</v>
      </c>
      <c r="C38" s="3" t="s">
        <v>25</v>
      </c>
      <c r="D38" s="3" t="s">
        <v>19</v>
      </c>
      <c r="E38" s="3" t="s">
        <v>31</v>
      </c>
      <c r="F38" s="3">
        <v>1085</v>
      </c>
      <c r="G38" s="3">
        <v>1074</v>
      </c>
      <c r="H38" s="3">
        <v>11</v>
      </c>
      <c r="I38" s="5">
        <f t="shared" si="1"/>
        <v>1.0138248847926268E-2</v>
      </c>
      <c r="J38" s="6">
        <f t="shared" si="6"/>
        <v>10138.248847926268</v>
      </c>
      <c r="K38" s="7">
        <v>0.4</v>
      </c>
      <c r="L38" s="3">
        <v>437</v>
      </c>
      <c r="M38" s="3">
        <v>450</v>
      </c>
      <c r="N38" s="3">
        <v>13</v>
      </c>
      <c r="O38" s="5">
        <f t="shared" si="2"/>
        <v>0.97111111111111115</v>
      </c>
      <c r="P38" s="5">
        <f t="shared" si="3"/>
        <v>0.99313501144164762</v>
      </c>
      <c r="Q38" s="5">
        <f t="shared" si="4"/>
        <v>0.98986175115207375</v>
      </c>
      <c r="R38" s="5">
        <f t="shared" si="5"/>
        <v>0.95466666666666677</v>
      </c>
    </row>
    <row r="39" spans="1:18" x14ac:dyDescent="0.25">
      <c r="A39" s="3">
        <v>35</v>
      </c>
      <c r="B39" s="4">
        <v>46268</v>
      </c>
      <c r="C39" s="3" t="s">
        <v>25</v>
      </c>
      <c r="D39" s="3" t="s">
        <v>21</v>
      </c>
      <c r="E39" s="3" t="s">
        <v>26</v>
      </c>
      <c r="F39" s="3">
        <v>287</v>
      </c>
      <c r="G39" s="3">
        <v>275</v>
      </c>
      <c r="H39" s="3">
        <v>12</v>
      </c>
      <c r="I39" s="5">
        <f t="shared" si="1"/>
        <v>4.1811846689895474E-2</v>
      </c>
      <c r="J39" s="6">
        <f t="shared" si="6"/>
        <v>41811.846689895472</v>
      </c>
      <c r="K39" s="7">
        <v>1.0900000000000001</v>
      </c>
      <c r="L39" s="3">
        <v>401</v>
      </c>
      <c r="M39" s="3">
        <v>450</v>
      </c>
      <c r="N39" s="3">
        <v>49</v>
      </c>
      <c r="O39" s="5">
        <f t="shared" si="2"/>
        <v>0.89111111111111108</v>
      </c>
      <c r="P39" s="5">
        <f t="shared" si="3"/>
        <v>0.78012468827930181</v>
      </c>
      <c r="Q39" s="5">
        <f t="shared" si="4"/>
        <v>0.95818815331010454</v>
      </c>
      <c r="R39" s="5">
        <f t="shared" si="5"/>
        <v>0.6661111111111111</v>
      </c>
    </row>
    <row r="40" spans="1:18" x14ac:dyDescent="0.25">
      <c r="A40" s="3">
        <v>36</v>
      </c>
      <c r="B40" s="4">
        <v>46268</v>
      </c>
      <c r="C40" s="3" t="s">
        <v>25</v>
      </c>
      <c r="D40" s="3" t="s">
        <v>23</v>
      </c>
      <c r="E40" s="3" t="s">
        <v>27</v>
      </c>
      <c r="F40" s="3">
        <v>423</v>
      </c>
      <c r="G40" s="3">
        <v>417</v>
      </c>
      <c r="H40" s="3">
        <v>6</v>
      </c>
      <c r="I40" s="5">
        <f t="shared" si="1"/>
        <v>1.4184397163120567E-2</v>
      </c>
      <c r="J40" s="6">
        <f t="shared" si="6"/>
        <v>14184.397163120568</v>
      </c>
      <c r="K40" s="7">
        <v>1.01</v>
      </c>
      <c r="L40" s="3">
        <v>420</v>
      </c>
      <c r="M40" s="3">
        <v>450</v>
      </c>
      <c r="N40" s="3">
        <v>30</v>
      </c>
      <c r="O40" s="5">
        <f t="shared" si="2"/>
        <v>0.93333333333333335</v>
      </c>
      <c r="P40" s="5">
        <f t="shared" si="3"/>
        <v>1.0172142857142858</v>
      </c>
      <c r="Q40" s="5">
        <f t="shared" si="4"/>
        <v>0.98581560283687941</v>
      </c>
      <c r="R40" s="5">
        <f t="shared" si="5"/>
        <v>0.93593333333333339</v>
      </c>
    </row>
    <row r="41" spans="1:18" x14ac:dyDescent="0.25">
      <c r="A41" s="3">
        <v>37</v>
      </c>
      <c r="B41" s="4">
        <v>46268</v>
      </c>
      <c r="C41" s="3" t="s">
        <v>28</v>
      </c>
      <c r="D41" s="3" t="s">
        <v>19</v>
      </c>
      <c r="E41" s="3" t="s">
        <v>24</v>
      </c>
      <c r="F41" s="3">
        <v>237</v>
      </c>
      <c r="G41" s="3">
        <v>234</v>
      </c>
      <c r="H41" s="3">
        <v>3</v>
      </c>
      <c r="I41" s="5">
        <f t="shared" si="1"/>
        <v>1.2658227848101266E-2</v>
      </c>
      <c r="J41" s="6">
        <f t="shared" si="6"/>
        <v>12658.227848101265</v>
      </c>
      <c r="K41" s="7">
        <v>1.61</v>
      </c>
      <c r="L41" s="3">
        <v>416</v>
      </c>
      <c r="M41" s="3">
        <v>450</v>
      </c>
      <c r="N41" s="3">
        <v>34</v>
      </c>
      <c r="O41" s="5">
        <f t="shared" si="2"/>
        <v>0.9244444444444444</v>
      </c>
      <c r="P41" s="5">
        <f t="shared" si="3"/>
        <v>0.917235576923077</v>
      </c>
      <c r="Q41" s="5">
        <f t="shared" si="4"/>
        <v>0.98734177215189878</v>
      </c>
      <c r="R41" s="5">
        <f t="shared" si="5"/>
        <v>0.83720000000000006</v>
      </c>
    </row>
    <row r="42" spans="1:18" x14ac:dyDescent="0.25">
      <c r="A42" s="3">
        <v>38</v>
      </c>
      <c r="B42" s="4">
        <v>46268</v>
      </c>
      <c r="C42" s="3" t="s">
        <v>28</v>
      </c>
      <c r="D42" s="3" t="s">
        <v>21</v>
      </c>
      <c r="E42" s="3" t="s">
        <v>29</v>
      </c>
      <c r="F42" s="3">
        <v>266</v>
      </c>
      <c r="G42" s="3">
        <v>255</v>
      </c>
      <c r="H42" s="3">
        <v>11</v>
      </c>
      <c r="I42" s="5">
        <f t="shared" si="1"/>
        <v>4.1353383458646614E-2</v>
      </c>
      <c r="J42" s="6">
        <f t="shared" si="6"/>
        <v>41353.383458646611</v>
      </c>
      <c r="K42" s="7">
        <v>1.34</v>
      </c>
      <c r="L42" s="3">
        <v>389</v>
      </c>
      <c r="M42" s="3">
        <v>450</v>
      </c>
      <c r="N42" s="3">
        <v>61</v>
      </c>
      <c r="O42" s="5">
        <f t="shared" si="2"/>
        <v>0.86444444444444446</v>
      </c>
      <c r="P42" s="5">
        <f t="shared" si="3"/>
        <v>0.91629820051413879</v>
      </c>
      <c r="Q42" s="5">
        <f t="shared" si="4"/>
        <v>0.95864661654135341</v>
      </c>
      <c r="R42" s="5">
        <f t="shared" si="5"/>
        <v>0.7593333333333333</v>
      </c>
    </row>
    <row r="43" spans="1:18" x14ac:dyDescent="0.25">
      <c r="A43" s="3">
        <v>39</v>
      </c>
      <c r="B43" s="4">
        <v>46268</v>
      </c>
      <c r="C43" s="3" t="s">
        <v>28</v>
      </c>
      <c r="D43" s="3" t="s">
        <v>23</v>
      </c>
      <c r="E43" s="3" t="s">
        <v>22</v>
      </c>
      <c r="F43" s="3">
        <v>359</v>
      </c>
      <c r="G43" s="3">
        <v>347</v>
      </c>
      <c r="H43" s="3">
        <v>12</v>
      </c>
      <c r="I43" s="5">
        <f t="shared" si="1"/>
        <v>3.3426183844011144E-2</v>
      </c>
      <c r="J43" s="6">
        <f t="shared" si="6"/>
        <v>33426.183844011146</v>
      </c>
      <c r="K43" s="7">
        <v>0.99</v>
      </c>
      <c r="L43" s="3">
        <v>437</v>
      </c>
      <c r="M43" s="3">
        <v>450</v>
      </c>
      <c r="N43" s="3">
        <v>13</v>
      </c>
      <c r="O43" s="5">
        <f t="shared" si="2"/>
        <v>0.97111111111111115</v>
      </c>
      <c r="P43" s="5">
        <f t="shared" si="3"/>
        <v>0.81329519450800924</v>
      </c>
      <c r="Q43" s="5">
        <f t="shared" si="4"/>
        <v>0.96657381615598881</v>
      </c>
      <c r="R43" s="5">
        <f t="shared" si="5"/>
        <v>0.76340000000000008</v>
      </c>
    </row>
    <row r="44" spans="1:18" x14ac:dyDescent="0.25">
      <c r="A44" s="3">
        <v>40</v>
      </c>
      <c r="B44" s="4">
        <v>46268</v>
      </c>
      <c r="C44" s="3" t="s">
        <v>30</v>
      </c>
      <c r="D44" s="3" t="s">
        <v>19</v>
      </c>
      <c r="E44" s="3" t="s">
        <v>29</v>
      </c>
      <c r="F44" s="3">
        <v>191</v>
      </c>
      <c r="G44" s="3">
        <v>184</v>
      </c>
      <c r="H44" s="3">
        <v>7</v>
      </c>
      <c r="I44" s="5">
        <f t="shared" si="1"/>
        <v>3.6649214659685861E-2</v>
      </c>
      <c r="J44" s="6">
        <f t="shared" si="6"/>
        <v>36649.214659685858</v>
      </c>
      <c r="K44" s="7">
        <v>1.76</v>
      </c>
      <c r="L44" s="3">
        <v>429</v>
      </c>
      <c r="M44" s="3">
        <v>450</v>
      </c>
      <c r="N44" s="3">
        <v>21</v>
      </c>
      <c r="O44" s="5">
        <f t="shared" si="2"/>
        <v>0.95333333333333337</v>
      </c>
      <c r="P44" s="5">
        <f t="shared" si="3"/>
        <v>0.78358974358974365</v>
      </c>
      <c r="Q44" s="5">
        <f t="shared" si="4"/>
        <v>0.96335078534031415</v>
      </c>
      <c r="R44" s="5">
        <f t="shared" si="5"/>
        <v>0.71964444444444453</v>
      </c>
    </row>
    <row r="45" spans="1:18" x14ac:dyDescent="0.25">
      <c r="A45" s="3">
        <v>41</v>
      </c>
      <c r="B45" s="4">
        <v>46268</v>
      </c>
      <c r="C45" s="3" t="s">
        <v>30</v>
      </c>
      <c r="D45" s="3" t="s">
        <v>21</v>
      </c>
      <c r="E45" s="3" t="s">
        <v>32</v>
      </c>
      <c r="F45" s="3">
        <v>188</v>
      </c>
      <c r="G45" s="3">
        <v>182</v>
      </c>
      <c r="H45" s="3">
        <v>6</v>
      </c>
      <c r="I45" s="5">
        <f t="shared" si="1"/>
        <v>3.1914893617021274E-2</v>
      </c>
      <c r="J45" s="6">
        <f t="shared" si="6"/>
        <v>31914.893617021273</v>
      </c>
      <c r="K45" s="7">
        <v>1.69</v>
      </c>
      <c r="L45" s="3">
        <v>394</v>
      </c>
      <c r="M45" s="3">
        <v>450</v>
      </c>
      <c r="N45" s="3">
        <v>56</v>
      </c>
      <c r="O45" s="5">
        <f t="shared" si="2"/>
        <v>0.87555555555555553</v>
      </c>
      <c r="P45" s="5">
        <f t="shared" si="3"/>
        <v>0.80639593908629437</v>
      </c>
      <c r="Q45" s="5">
        <f t="shared" si="4"/>
        <v>0.96808510638297873</v>
      </c>
      <c r="R45" s="5">
        <f t="shared" si="5"/>
        <v>0.68351111111111107</v>
      </c>
    </row>
    <row r="46" spans="1:18" x14ac:dyDescent="0.25">
      <c r="A46" s="3">
        <v>42</v>
      </c>
      <c r="B46" s="4">
        <v>46268</v>
      </c>
      <c r="C46" s="3" t="s">
        <v>30</v>
      </c>
      <c r="D46" s="3" t="s">
        <v>23</v>
      </c>
      <c r="E46" s="3" t="s">
        <v>20</v>
      </c>
      <c r="F46" s="3">
        <v>272</v>
      </c>
      <c r="G46" s="3">
        <v>262</v>
      </c>
      <c r="H46" s="3">
        <v>10</v>
      </c>
      <c r="I46" s="5">
        <f t="shared" si="1"/>
        <v>3.6764705882352942E-2</v>
      </c>
      <c r="J46" s="6">
        <f t="shared" si="6"/>
        <v>36764.705882352944</v>
      </c>
      <c r="K46" s="7">
        <v>1.29</v>
      </c>
      <c r="L46" s="3">
        <v>441</v>
      </c>
      <c r="M46" s="3">
        <v>450</v>
      </c>
      <c r="N46" s="3">
        <v>9</v>
      </c>
      <c r="O46" s="5">
        <f t="shared" si="2"/>
        <v>0.98</v>
      </c>
      <c r="P46" s="5">
        <f t="shared" si="3"/>
        <v>0.79564625850340132</v>
      </c>
      <c r="Q46" s="5">
        <f t="shared" si="4"/>
        <v>0.96323529411764708</v>
      </c>
      <c r="R46" s="5">
        <f t="shared" si="5"/>
        <v>0.75106666666666666</v>
      </c>
    </row>
    <row r="47" spans="1:18" x14ac:dyDescent="0.25">
      <c r="A47" s="3">
        <v>43</v>
      </c>
      <c r="B47" s="4">
        <v>46268</v>
      </c>
      <c r="C47" s="3" t="s">
        <v>33</v>
      </c>
      <c r="D47" s="3" t="s">
        <v>19</v>
      </c>
      <c r="E47" s="3" t="s">
        <v>26</v>
      </c>
      <c r="F47" s="3">
        <v>373</v>
      </c>
      <c r="G47" s="3">
        <v>359</v>
      </c>
      <c r="H47" s="3">
        <v>14</v>
      </c>
      <c r="I47" s="5">
        <f t="shared" si="1"/>
        <v>3.7533512064343161E-2</v>
      </c>
      <c r="J47" s="6">
        <f t="shared" si="6"/>
        <v>37533.512064343158</v>
      </c>
      <c r="K47" s="7">
        <v>1.1100000000000001</v>
      </c>
      <c r="L47" s="3">
        <v>415</v>
      </c>
      <c r="M47" s="3">
        <v>450</v>
      </c>
      <c r="N47" s="3">
        <v>35</v>
      </c>
      <c r="O47" s="5">
        <f t="shared" si="2"/>
        <v>0.92222222222222228</v>
      </c>
      <c r="P47" s="5">
        <f t="shared" si="3"/>
        <v>0.99766265060240966</v>
      </c>
      <c r="Q47" s="5">
        <f t="shared" si="4"/>
        <v>0.96246648793565681</v>
      </c>
      <c r="R47" s="5">
        <f t="shared" si="5"/>
        <v>0.88553333333333339</v>
      </c>
    </row>
    <row r="48" spans="1:18" x14ac:dyDescent="0.25">
      <c r="A48" s="3">
        <v>44</v>
      </c>
      <c r="B48" s="4">
        <v>46268</v>
      </c>
      <c r="C48" s="3" t="s">
        <v>33</v>
      </c>
      <c r="D48" s="3" t="s">
        <v>21</v>
      </c>
      <c r="E48" s="3" t="s">
        <v>20</v>
      </c>
      <c r="F48" s="3">
        <v>298</v>
      </c>
      <c r="G48" s="3">
        <v>291</v>
      </c>
      <c r="H48" s="3">
        <v>7</v>
      </c>
      <c r="I48" s="5">
        <f t="shared" si="1"/>
        <v>2.3489932885906041E-2</v>
      </c>
      <c r="J48" s="6">
        <f t="shared" si="6"/>
        <v>23489.932885906041</v>
      </c>
      <c r="K48" s="7">
        <v>1.1000000000000001</v>
      </c>
      <c r="L48" s="3">
        <v>390</v>
      </c>
      <c r="M48" s="3">
        <v>450</v>
      </c>
      <c r="N48" s="3">
        <v>60</v>
      </c>
      <c r="O48" s="5">
        <f t="shared" si="2"/>
        <v>0.8666666666666667</v>
      </c>
      <c r="P48" s="5">
        <f t="shared" si="3"/>
        <v>0.8405128205128205</v>
      </c>
      <c r="Q48" s="5">
        <f t="shared" si="4"/>
        <v>0.97651006711409394</v>
      </c>
      <c r="R48" s="5">
        <f t="shared" si="5"/>
        <v>0.71133333333333337</v>
      </c>
    </row>
    <row r="49" spans="1:18" x14ac:dyDescent="0.25">
      <c r="A49" s="3">
        <v>45</v>
      </c>
      <c r="B49" s="4">
        <v>46268</v>
      </c>
      <c r="C49" s="3" t="s">
        <v>33</v>
      </c>
      <c r="D49" s="3" t="s">
        <v>23</v>
      </c>
      <c r="E49" s="3" t="s">
        <v>34</v>
      </c>
      <c r="F49" s="3">
        <v>645</v>
      </c>
      <c r="G49" s="3">
        <v>629</v>
      </c>
      <c r="H49" s="3">
        <v>16</v>
      </c>
      <c r="I49" s="5">
        <f t="shared" si="1"/>
        <v>2.4806201550387597E-2</v>
      </c>
      <c r="J49" s="6">
        <f t="shared" si="6"/>
        <v>24806.201550387595</v>
      </c>
      <c r="K49" s="7">
        <v>0.5</v>
      </c>
      <c r="L49" s="3">
        <v>397</v>
      </c>
      <c r="M49" s="3">
        <v>450</v>
      </c>
      <c r="N49" s="3">
        <v>53</v>
      </c>
      <c r="O49" s="5">
        <f t="shared" si="2"/>
        <v>0.88222222222222224</v>
      </c>
      <c r="P49" s="5">
        <f t="shared" si="3"/>
        <v>0.81234256926952142</v>
      </c>
      <c r="Q49" s="5">
        <f t="shared" si="4"/>
        <v>0.9751937984496124</v>
      </c>
      <c r="R49" s="5">
        <f t="shared" si="5"/>
        <v>0.69888888888888889</v>
      </c>
    </row>
    <row r="50" spans="1:18" x14ac:dyDescent="0.25">
      <c r="A50" s="3">
        <v>46</v>
      </c>
      <c r="B50" s="4">
        <v>46269</v>
      </c>
      <c r="C50" s="3" t="s">
        <v>18</v>
      </c>
      <c r="D50" s="3" t="s">
        <v>19</v>
      </c>
      <c r="E50" s="3" t="s">
        <v>20</v>
      </c>
      <c r="F50" s="3">
        <v>805</v>
      </c>
      <c r="G50" s="3">
        <v>795</v>
      </c>
      <c r="H50" s="3">
        <v>10</v>
      </c>
      <c r="I50" s="5">
        <f t="shared" si="1"/>
        <v>1.2422360248447204E-2</v>
      </c>
      <c r="J50" s="6">
        <f t="shared" si="6"/>
        <v>12422.360248447205</v>
      </c>
      <c r="K50" s="7">
        <v>0.43</v>
      </c>
      <c r="L50" s="3">
        <v>405</v>
      </c>
      <c r="M50" s="3">
        <v>450</v>
      </c>
      <c r="N50" s="3">
        <v>45</v>
      </c>
      <c r="O50" s="5">
        <f t="shared" si="2"/>
        <v>0.9</v>
      </c>
      <c r="P50" s="5">
        <f t="shared" si="3"/>
        <v>0.85469135802469132</v>
      </c>
      <c r="Q50" s="5">
        <f t="shared" si="4"/>
        <v>0.98757763975155277</v>
      </c>
      <c r="R50" s="5">
        <f t="shared" si="5"/>
        <v>0.75966666666666671</v>
      </c>
    </row>
    <row r="51" spans="1:18" x14ac:dyDescent="0.25">
      <c r="A51" s="3">
        <v>47</v>
      </c>
      <c r="B51" s="4">
        <v>46269</v>
      </c>
      <c r="C51" s="3" t="s">
        <v>18</v>
      </c>
      <c r="D51" s="3" t="s">
        <v>21</v>
      </c>
      <c r="E51" s="3" t="s">
        <v>27</v>
      </c>
      <c r="F51" s="3">
        <v>280</v>
      </c>
      <c r="G51" s="3">
        <v>269</v>
      </c>
      <c r="H51" s="3">
        <v>11</v>
      </c>
      <c r="I51" s="5">
        <f t="shared" si="1"/>
        <v>3.9285714285714285E-2</v>
      </c>
      <c r="J51" s="6">
        <f t="shared" si="6"/>
        <v>39285.714285714283</v>
      </c>
      <c r="K51" s="7">
        <v>1.25</v>
      </c>
      <c r="L51" s="3">
        <v>442</v>
      </c>
      <c r="M51" s="3">
        <v>450</v>
      </c>
      <c r="N51" s="3">
        <v>8</v>
      </c>
      <c r="O51" s="5">
        <f t="shared" si="2"/>
        <v>0.98222222222222222</v>
      </c>
      <c r="P51" s="5">
        <f t="shared" si="3"/>
        <v>0.79185520361990946</v>
      </c>
      <c r="Q51" s="5">
        <f t="shared" si="4"/>
        <v>0.96071428571428574</v>
      </c>
      <c r="R51" s="5">
        <f t="shared" si="5"/>
        <v>0.74722222222222223</v>
      </c>
    </row>
    <row r="52" spans="1:18" x14ac:dyDescent="0.25">
      <c r="A52" s="3">
        <v>48</v>
      </c>
      <c r="B52" s="4">
        <v>46269</v>
      </c>
      <c r="C52" s="3" t="s">
        <v>18</v>
      </c>
      <c r="D52" s="3" t="s">
        <v>23</v>
      </c>
      <c r="E52" s="3" t="s">
        <v>34</v>
      </c>
      <c r="F52" s="3">
        <v>215</v>
      </c>
      <c r="G52" s="3">
        <v>208</v>
      </c>
      <c r="H52" s="3">
        <v>7</v>
      </c>
      <c r="I52" s="5">
        <f t="shared" si="1"/>
        <v>3.255813953488372E-2</v>
      </c>
      <c r="J52" s="6">
        <f t="shared" si="6"/>
        <v>32558.139534883721</v>
      </c>
      <c r="K52" s="7">
        <v>1.6</v>
      </c>
      <c r="L52" s="3">
        <v>398</v>
      </c>
      <c r="M52" s="3">
        <v>450</v>
      </c>
      <c r="N52" s="3">
        <v>52</v>
      </c>
      <c r="O52" s="5">
        <f t="shared" si="2"/>
        <v>0.88444444444444448</v>
      </c>
      <c r="P52" s="5">
        <f t="shared" si="3"/>
        <v>0.86432160804020097</v>
      </c>
      <c r="Q52" s="5">
        <f t="shared" si="4"/>
        <v>0.96744186046511627</v>
      </c>
      <c r="R52" s="5">
        <f t="shared" si="5"/>
        <v>0.73955555555555563</v>
      </c>
    </row>
    <row r="53" spans="1:18" x14ac:dyDescent="0.25">
      <c r="A53" s="3">
        <v>49</v>
      </c>
      <c r="B53" s="4">
        <v>46269</v>
      </c>
      <c r="C53" s="3" t="s">
        <v>25</v>
      </c>
      <c r="D53" s="3" t="s">
        <v>19</v>
      </c>
      <c r="E53" s="3" t="s">
        <v>24</v>
      </c>
      <c r="F53" s="3">
        <v>415</v>
      </c>
      <c r="G53" s="3">
        <v>412</v>
      </c>
      <c r="H53" s="3">
        <v>3</v>
      </c>
      <c r="I53" s="5">
        <f t="shared" si="1"/>
        <v>7.2289156626506026E-3</v>
      </c>
      <c r="J53" s="6">
        <f t="shared" si="6"/>
        <v>7228.9156626506028</v>
      </c>
      <c r="K53" s="7">
        <v>0.93</v>
      </c>
      <c r="L53" s="3">
        <v>424</v>
      </c>
      <c r="M53" s="3">
        <v>450</v>
      </c>
      <c r="N53" s="3">
        <v>26</v>
      </c>
      <c r="O53" s="5">
        <f t="shared" si="2"/>
        <v>0.94222222222222218</v>
      </c>
      <c r="P53" s="5">
        <f t="shared" si="3"/>
        <v>0.91025943396226427</v>
      </c>
      <c r="Q53" s="5">
        <f t="shared" si="4"/>
        <v>0.9927710843373494</v>
      </c>
      <c r="R53" s="5">
        <f t="shared" si="5"/>
        <v>0.85146666666666682</v>
      </c>
    </row>
    <row r="54" spans="1:18" x14ac:dyDescent="0.25">
      <c r="A54" s="3">
        <v>50</v>
      </c>
      <c r="B54" s="4">
        <v>46269</v>
      </c>
      <c r="C54" s="3" t="s">
        <v>25</v>
      </c>
      <c r="D54" s="3" t="s">
        <v>21</v>
      </c>
      <c r="E54" s="3" t="s">
        <v>29</v>
      </c>
      <c r="F54" s="3">
        <v>272</v>
      </c>
      <c r="G54" s="3">
        <v>262</v>
      </c>
      <c r="H54" s="3">
        <v>10</v>
      </c>
      <c r="I54" s="5">
        <f t="shared" si="1"/>
        <v>3.6764705882352942E-2</v>
      </c>
      <c r="J54" s="6">
        <f t="shared" si="6"/>
        <v>36764.705882352944</v>
      </c>
      <c r="K54" s="7">
        <v>1.62</v>
      </c>
      <c r="L54" s="3">
        <v>436</v>
      </c>
      <c r="M54" s="3">
        <v>450</v>
      </c>
      <c r="N54" s="3">
        <v>14</v>
      </c>
      <c r="O54" s="5">
        <f t="shared" si="2"/>
        <v>0.96888888888888891</v>
      </c>
      <c r="P54" s="5">
        <f t="shared" si="3"/>
        <v>1.0106422018348624</v>
      </c>
      <c r="Q54" s="5">
        <f t="shared" si="4"/>
        <v>0.96323529411764708</v>
      </c>
      <c r="R54" s="5">
        <f t="shared" si="5"/>
        <v>0.94320000000000004</v>
      </c>
    </row>
    <row r="55" spans="1:18" x14ac:dyDescent="0.25">
      <c r="A55" s="3">
        <v>51</v>
      </c>
      <c r="B55" s="4">
        <v>46269</v>
      </c>
      <c r="C55" s="3" t="s">
        <v>25</v>
      </c>
      <c r="D55" s="3" t="s">
        <v>23</v>
      </c>
      <c r="E55" s="3" t="s">
        <v>24</v>
      </c>
      <c r="F55" s="3">
        <v>381</v>
      </c>
      <c r="G55" s="3">
        <v>376</v>
      </c>
      <c r="H55" s="3">
        <v>5</v>
      </c>
      <c r="I55" s="5">
        <f t="shared" si="1"/>
        <v>1.3123359580052493E-2</v>
      </c>
      <c r="J55" s="6">
        <f t="shared" si="6"/>
        <v>13123.359580052493</v>
      </c>
      <c r="K55" s="7">
        <v>1.17</v>
      </c>
      <c r="L55" s="3">
        <v>435</v>
      </c>
      <c r="M55" s="3">
        <v>450</v>
      </c>
      <c r="N55" s="3">
        <v>15</v>
      </c>
      <c r="O55" s="5">
        <f t="shared" si="2"/>
        <v>0.96666666666666667</v>
      </c>
      <c r="P55" s="5">
        <f t="shared" si="3"/>
        <v>1.0247586206896551</v>
      </c>
      <c r="Q55" s="5">
        <f t="shared" si="4"/>
        <v>0.98687664041994749</v>
      </c>
      <c r="R55" s="5">
        <f t="shared" si="5"/>
        <v>0.97759999999999991</v>
      </c>
    </row>
    <row r="56" spans="1:18" x14ac:dyDescent="0.25">
      <c r="A56" s="3">
        <v>52</v>
      </c>
      <c r="B56" s="4">
        <v>46269</v>
      </c>
      <c r="C56" s="3" t="s">
        <v>28</v>
      </c>
      <c r="D56" s="3" t="s">
        <v>19</v>
      </c>
      <c r="E56" s="3" t="s">
        <v>32</v>
      </c>
      <c r="F56" s="3">
        <v>822</v>
      </c>
      <c r="G56" s="3">
        <v>808</v>
      </c>
      <c r="H56" s="3">
        <v>14</v>
      </c>
      <c r="I56" s="5">
        <f t="shared" si="1"/>
        <v>1.7031630170316302E-2</v>
      </c>
      <c r="J56" s="6">
        <f t="shared" si="6"/>
        <v>17031.630170316301</v>
      </c>
      <c r="K56" s="7">
        <v>0.46</v>
      </c>
      <c r="L56" s="3">
        <v>411</v>
      </c>
      <c r="M56" s="3">
        <v>450</v>
      </c>
      <c r="N56" s="3">
        <v>39</v>
      </c>
      <c r="O56" s="5">
        <f t="shared" si="2"/>
        <v>0.91333333333333333</v>
      </c>
      <c r="P56" s="5">
        <f t="shared" si="3"/>
        <v>0.92</v>
      </c>
      <c r="Q56" s="5">
        <f t="shared" si="4"/>
        <v>0.98296836982968372</v>
      </c>
      <c r="R56" s="5">
        <f t="shared" si="5"/>
        <v>0.82595555555555566</v>
      </c>
    </row>
    <row r="57" spans="1:18" x14ac:dyDescent="0.25">
      <c r="A57" s="3">
        <v>53</v>
      </c>
      <c r="B57" s="4">
        <v>46269</v>
      </c>
      <c r="C57" s="3" t="s">
        <v>28</v>
      </c>
      <c r="D57" s="3" t="s">
        <v>21</v>
      </c>
      <c r="E57" s="3" t="s">
        <v>34</v>
      </c>
      <c r="F57" s="3">
        <v>474</v>
      </c>
      <c r="G57" s="3">
        <v>467</v>
      </c>
      <c r="H57" s="3">
        <v>7</v>
      </c>
      <c r="I57" s="5">
        <f t="shared" si="1"/>
        <v>1.4767932489451477E-2</v>
      </c>
      <c r="J57" s="6">
        <f t="shared" si="6"/>
        <v>14767.932489451478</v>
      </c>
      <c r="K57" s="7">
        <v>0.82</v>
      </c>
      <c r="L57" s="3">
        <v>419</v>
      </c>
      <c r="M57" s="3">
        <v>450</v>
      </c>
      <c r="N57" s="3">
        <v>31</v>
      </c>
      <c r="O57" s="5">
        <f t="shared" si="2"/>
        <v>0.93111111111111111</v>
      </c>
      <c r="P57" s="5">
        <f t="shared" si="3"/>
        <v>0.9276372315035798</v>
      </c>
      <c r="Q57" s="5">
        <f t="shared" si="4"/>
        <v>0.98523206751054848</v>
      </c>
      <c r="R57" s="5">
        <f t="shared" si="5"/>
        <v>0.85097777777777761</v>
      </c>
    </row>
    <row r="58" spans="1:18" x14ac:dyDescent="0.25">
      <c r="A58" s="3">
        <v>54</v>
      </c>
      <c r="B58" s="4">
        <v>46269</v>
      </c>
      <c r="C58" s="3" t="s">
        <v>28</v>
      </c>
      <c r="D58" s="3" t="s">
        <v>23</v>
      </c>
      <c r="E58" s="3" t="s">
        <v>34</v>
      </c>
      <c r="F58" s="3">
        <v>567</v>
      </c>
      <c r="G58" s="3">
        <v>557</v>
      </c>
      <c r="H58" s="3">
        <v>10</v>
      </c>
      <c r="I58" s="5">
        <f t="shared" si="1"/>
        <v>1.7636684303350969E-2</v>
      </c>
      <c r="J58" s="6">
        <f t="shared" si="6"/>
        <v>17636.684303350969</v>
      </c>
      <c r="K58" s="7">
        <v>0.62</v>
      </c>
      <c r="L58" s="3">
        <v>445</v>
      </c>
      <c r="M58" s="3">
        <v>450</v>
      </c>
      <c r="N58" s="3">
        <v>5</v>
      </c>
      <c r="O58" s="5">
        <f t="shared" si="2"/>
        <v>0.98888888888888893</v>
      </c>
      <c r="P58" s="5">
        <f t="shared" si="3"/>
        <v>0.78997752808988764</v>
      </c>
      <c r="Q58" s="5">
        <f t="shared" si="4"/>
        <v>0.98236331569664903</v>
      </c>
      <c r="R58" s="5">
        <f t="shared" si="5"/>
        <v>0.76742222222222223</v>
      </c>
    </row>
    <row r="59" spans="1:18" x14ac:dyDescent="0.25">
      <c r="A59" s="3">
        <v>55</v>
      </c>
      <c r="B59" s="4">
        <v>46269</v>
      </c>
      <c r="C59" s="3" t="s">
        <v>30</v>
      </c>
      <c r="D59" s="3" t="s">
        <v>19</v>
      </c>
      <c r="E59" s="3" t="s">
        <v>26</v>
      </c>
      <c r="F59" s="3">
        <v>255</v>
      </c>
      <c r="G59" s="3">
        <v>246</v>
      </c>
      <c r="H59" s="3">
        <v>9</v>
      </c>
      <c r="I59" s="5">
        <f t="shared" si="1"/>
        <v>3.5294117647058823E-2</v>
      </c>
      <c r="J59" s="6">
        <f t="shared" si="6"/>
        <v>35294.117647058825</v>
      </c>
      <c r="K59" s="7">
        <v>1.62</v>
      </c>
      <c r="L59" s="3">
        <v>436</v>
      </c>
      <c r="M59" s="3">
        <v>450</v>
      </c>
      <c r="N59" s="3">
        <v>14</v>
      </c>
      <c r="O59" s="5">
        <f t="shared" si="2"/>
        <v>0.96888888888888891</v>
      </c>
      <c r="P59" s="5">
        <f t="shared" si="3"/>
        <v>0.94747706422018352</v>
      </c>
      <c r="Q59" s="5">
        <f t="shared" si="4"/>
        <v>0.96470588235294119</v>
      </c>
      <c r="R59" s="5">
        <f t="shared" si="5"/>
        <v>0.88560000000000005</v>
      </c>
    </row>
    <row r="60" spans="1:18" x14ac:dyDescent="0.25">
      <c r="A60" s="3">
        <v>56</v>
      </c>
      <c r="B60" s="4">
        <v>46269</v>
      </c>
      <c r="C60" s="3" t="s">
        <v>30</v>
      </c>
      <c r="D60" s="3" t="s">
        <v>21</v>
      </c>
      <c r="E60" s="3" t="s">
        <v>34</v>
      </c>
      <c r="F60" s="3">
        <v>504</v>
      </c>
      <c r="G60" s="3">
        <v>488</v>
      </c>
      <c r="H60" s="3">
        <v>16</v>
      </c>
      <c r="I60" s="5">
        <f t="shared" si="1"/>
        <v>3.1746031746031744E-2</v>
      </c>
      <c r="J60" s="6">
        <f t="shared" si="6"/>
        <v>31746.031746031746</v>
      </c>
      <c r="K60" s="7">
        <v>0.83</v>
      </c>
      <c r="L60" s="3">
        <v>425</v>
      </c>
      <c r="M60" s="3">
        <v>450</v>
      </c>
      <c r="N60" s="3">
        <v>25</v>
      </c>
      <c r="O60" s="5">
        <f t="shared" si="2"/>
        <v>0.94444444444444442</v>
      </c>
      <c r="P60" s="5">
        <f t="shared" si="3"/>
        <v>0.9842823529411765</v>
      </c>
      <c r="Q60" s="5">
        <f t="shared" si="4"/>
        <v>0.96825396825396826</v>
      </c>
      <c r="R60" s="5">
        <f t="shared" si="5"/>
        <v>0.90008888888888883</v>
      </c>
    </row>
    <row r="61" spans="1:18" x14ac:dyDescent="0.25">
      <c r="A61" s="3">
        <v>57</v>
      </c>
      <c r="B61" s="4">
        <v>46269</v>
      </c>
      <c r="C61" s="3" t="s">
        <v>30</v>
      </c>
      <c r="D61" s="3" t="s">
        <v>23</v>
      </c>
      <c r="E61" s="3" t="s">
        <v>29</v>
      </c>
      <c r="F61" s="3">
        <v>276</v>
      </c>
      <c r="G61" s="3">
        <v>264</v>
      </c>
      <c r="H61" s="3">
        <v>12</v>
      </c>
      <c r="I61" s="5">
        <f t="shared" si="1"/>
        <v>4.3478260869565216E-2</v>
      </c>
      <c r="J61" s="6">
        <f t="shared" si="6"/>
        <v>43478.260869565216</v>
      </c>
      <c r="K61" s="7">
        <v>1.1599999999999999</v>
      </c>
      <c r="L61" s="3">
        <v>406</v>
      </c>
      <c r="M61" s="3">
        <v>450</v>
      </c>
      <c r="N61" s="3">
        <v>44</v>
      </c>
      <c r="O61" s="5">
        <f t="shared" si="2"/>
        <v>0.90222222222222226</v>
      </c>
      <c r="P61" s="5">
        <f t="shared" si="3"/>
        <v>0.78857142857142848</v>
      </c>
      <c r="Q61" s="5">
        <f t="shared" si="4"/>
        <v>0.95652173913043481</v>
      </c>
      <c r="R61" s="5">
        <f t="shared" si="5"/>
        <v>0.68053333333333332</v>
      </c>
    </row>
    <row r="62" spans="1:18" x14ac:dyDescent="0.25">
      <c r="A62" s="3">
        <v>58</v>
      </c>
      <c r="B62" s="4">
        <v>46269</v>
      </c>
      <c r="C62" s="3" t="s">
        <v>33</v>
      </c>
      <c r="D62" s="3" t="s">
        <v>19</v>
      </c>
      <c r="E62" s="3" t="s">
        <v>27</v>
      </c>
      <c r="F62" s="3">
        <v>305</v>
      </c>
      <c r="G62" s="3">
        <v>293</v>
      </c>
      <c r="H62" s="3">
        <v>12</v>
      </c>
      <c r="I62" s="5">
        <f t="shared" si="1"/>
        <v>3.9344262295081971E-2</v>
      </c>
      <c r="J62" s="6">
        <f t="shared" si="6"/>
        <v>39344.262295081971</v>
      </c>
      <c r="K62" s="7">
        <v>1.48</v>
      </c>
      <c r="L62" s="3">
        <v>445</v>
      </c>
      <c r="M62" s="3">
        <v>450</v>
      </c>
      <c r="N62" s="3">
        <v>5</v>
      </c>
      <c r="O62" s="5">
        <f t="shared" si="2"/>
        <v>0.98888888888888893</v>
      </c>
      <c r="P62" s="5">
        <f t="shared" si="3"/>
        <v>1.01438202247191</v>
      </c>
      <c r="Q62" s="5">
        <f t="shared" si="4"/>
        <v>0.96065573770491808</v>
      </c>
      <c r="R62" s="5">
        <f t="shared" si="5"/>
        <v>0.96364444444444441</v>
      </c>
    </row>
    <row r="63" spans="1:18" x14ac:dyDescent="0.25">
      <c r="A63" s="3">
        <v>59</v>
      </c>
      <c r="B63" s="4">
        <v>46269</v>
      </c>
      <c r="C63" s="3" t="s">
        <v>33</v>
      </c>
      <c r="D63" s="3" t="s">
        <v>21</v>
      </c>
      <c r="E63" s="3" t="s">
        <v>32</v>
      </c>
      <c r="F63" s="3">
        <v>1036</v>
      </c>
      <c r="G63" s="3">
        <v>999</v>
      </c>
      <c r="H63" s="3">
        <v>37</v>
      </c>
      <c r="I63" s="5">
        <f t="shared" si="1"/>
        <v>3.5714285714285712E-2</v>
      </c>
      <c r="J63" s="6">
        <f t="shared" si="6"/>
        <v>35714.28571428571</v>
      </c>
      <c r="K63" s="7">
        <v>0.38</v>
      </c>
      <c r="L63" s="3">
        <v>441</v>
      </c>
      <c r="M63" s="3">
        <v>450</v>
      </c>
      <c r="N63" s="3">
        <v>9</v>
      </c>
      <c r="O63" s="5">
        <f t="shared" si="2"/>
        <v>0.98</v>
      </c>
      <c r="P63" s="5">
        <f t="shared" si="3"/>
        <v>0.89269841269841277</v>
      </c>
      <c r="Q63" s="5">
        <f t="shared" si="4"/>
        <v>0.9642857142857143</v>
      </c>
      <c r="R63" s="5">
        <f t="shared" si="5"/>
        <v>0.84360000000000013</v>
      </c>
    </row>
    <row r="64" spans="1:18" x14ac:dyDescent="0.25">
      <c r="A64" s="3">
        <v>60</v>
      </c>
      <c r="B64" s="4">
        <v>46269</v>
      </c>
      <c r="C64" s="3" t="s">
        <v>33</v>
      </c>
      <c r="D64" s="3" t="s">
        <v>23</v>
      </c>
      <c r="E64" s="3" t="s">
        <v>26</v>
      </c>
      <c r="F64" s="3">
        <v>939</v>
      </c>
      <c r="G64" s="3">
        <v>907</v>
      </c>
      <c r="H64" s="3">
        <v>32</v>
      </c>
      <c r="I64" s="5">
        <f t="shared" si="1"/>
        <v>3.4078807241746542E-2</v>
      </c>
      <c r="J64" s="6">
        <f t="shared" si="6"/>
        <v>34078.807241746545</v>
      </c>
      <c r="K64" s="7">
        <v>0.36</v>
      </c>
      <c r="L64" s="3">
        <v>397</v>
      </c>
      <c r="M64" s="3">
        <v>450</v>
      </c>
      <c r="N64" s="3">
        <v>53</v>
      </c>
      <c r="O64" s="5">
        <f t="shared" si="2"/>
        <v>0.88222222222222224</v>
      </c>
      <c r="P64" s="5">
        <f t="shared" si="3"/>
        <v>0.85148614609571782</v>
      </c>
      <c r="Q64" s="5">
        <f t="shared" si="4"/>
        <v>0.9659211927582535</v>
      </c>
      <c r="R64" s="5">
        <f t="shared" si="5"/>
        <v>0.72560000000000002</v>
      </c>
    </row>
    <row r="65" spans="1:18" x14ac:dyDescent="0.25">
      <c r="A65" s="3">
        <v>61</v>
      </c>
      <c r="B65" s="4">
        <v>46270</v>
      </c>
      <c r="C65" s="3" t="s">
        <v>18</v>
      </c>
      <c r="D65" s="3" t="s">
        <v>19</v>
      </c>
      <c r="E65" s="3" t="s">
        <v>31</v>
      </c>
      <c r="F65" s="3">
        <v>251</v>
      </c>
      <c r="G65" s="3">
        <v>247</v>
      </c>
      <c r="H65" s="3">
        <v>4</v>
      </c>
      <c r="I65" s="5">
        <f t="shared" si="1"/>
        <v>1.5936254980079681E-2</v>
      </c>
      <c r="J65" s="6">
        <f t="shared" si="6"/>
        <v>15936.254980079681</v>
      </c>
      <c r="K65" s="7">
        <v>1.5</v>
      </c>
      <c r="L65" s="3">
        <v>441</v>
      </c>
      <c r="M65" s="3">
        <v>450</v>
      </c>
      <c r="N65" s="3">
        <v>9</v>
      </c>
      <c r="O65" s="5">
        <f t="shared" si="2"/>
        <v>0.98</v>
      </c>
      <c r="P65" s="5">
        <f t="shared" si="3"/>
        <v>0.8537414965986394</v>
      </c>
      <c r="Q65" s="5">
        <f t="shared" si="4"/>
        <v>0.98406374501992033</v>
      </c>
      <c r="R65" s="5">
        <f t="shared" si="5"/>
        <v>0.82333333333333325</v>
      </c>
    </row>
    <row r="66" spans="1:18" x14ac:dyDescent="0.25">
      <c r="A66" s="3">
        <v>62</v>
      </c>
      <c r="B66" s="4">
        <v>46270</v>
      </c>
      <c r="C66" s="3" t="s">
        <v>18</v>
      </c>
      <c r="D66" s="3" t="s">
        <v>21</v>
      </c>
      <c r="E66" s="3" t="s">
        <v>29</v>
      </c>
      <c r="F66" s="3">
        <v>207</v>
      </c>
      <c r="G66" s="3">
        <v>202</v>
      </c>
      <c r="H66" s="3">
        <v>5</v>
      </c>
      <c r="I66" s="5">
        <f t="shared" si="1"/>
        <v>2.4154589371980676E-2</v>
      </c>
      <c r="J66" s="6">
        <f t="shared" si="6"/>
        <v>24154.589371980677</v>
      </c>
      <c r="K66" s="7">
        <v>1.75</v>
      </c>
      <c r="L66" s="3">
        <v>408</v>
      </c>
      <c r="M66" s="3">
        <v>450</v>
      </c>
      <c r="N66" s="3">
        <v>42</v>
      </c>
      <c r="O66" s="5">
        <f t="shared" si="2"/>
        <v>0.90666666666666662</v>
      </c>
      <c r="P66" s="5">
        <f t="shared" si="3"/>
        <v>0.88786764705882348</v>
      </c>
      <c r="Q66" s="5">
        <f t="shared" si="4"/>
        <v>0.97584541062801933</v>
      </c>
      <c r="R66" s="5">
        <f t="shared" si="5"/>
        <v>0.78555555555555545</v>
      </c>
    </row>
    <row r="67" spans="1:18" x14ac:dyDescent="0.25">
      <c r="A67" s="3">
        <v>63</v>
      </c>
      <c r="B67" s="4">
        <v>46270</v>
      </c>
      <c r="C67" s="3" t="s">
        <v>18</v>
      </c>
      <c r="D67" s="3" t="s">
        <v>23</v>
      </c>
      <c r="E67" s="3" t="s">
        <v>27</v>
      </c>
      <c r="F67" s="3">
        <v>332</v>
      </c>
      <c r="G67" s="3">
        <v>325</v>
      </c>
      <c r="H67" s="3">
        <v>7</v>
      </c>
      <c r="I67" s="5">
        <f t="shared" si="1"/>
        <v>2.1084337349397589E-2</v>
      </c>
      <c r="J67" s="6">
        <f t="shared" si="6"/>
        <v>21084.337349397589</v>
      </c>
      <c r="K67" s="7">
        <v>1.1499999999999999</v>
      </c>
      <c r="L67" s="3">
        <v>417</v>
      </c>
      <c r="M67" s="3">
        <v>450</v>
      </c>
      <c r="N67" s="3">
        <v>33</v>
      </c>
      <c r="O67" s="5">
        <f t="shared" si="2"/>
        <v>0.92666666666666664</v>
      </c>
      <c r="P67" s="5">
        <f t="shared" si="3"/>
        <v>0.91558752997601911</v>
      </c>
      <c r="Q67" s="5">
        <f t="shared" si="4"/>
        <v>0.97891566265060237</v>
      </c>
      <c r="R67" s="5">
        <f t="shared" si="5"/>
        <v>0.83055555555555538</v>
      </c>
    </row>
    <row r="68" spans="1:18" x14ac:dyDescent="0.25">
      <c r="A68" s="3">
        <v>64</v>
      </c>
      <c r="B68" s="4">
        <v>46270</v>
      </c>
      <c r="C68" s="3" t="s">
        <v>25</v>
      </c>
      <c r="D68" s="3" t="s">
        <v>19</v>
      </c>
      <c r="E68" s="3" t="s">
        <v>20</v>
      </c>
      <c r="F68" s="3">
        <v>273</v>
      </c>
      <c r="G68" s="3">
        <v>261</v>
      </c>
      <c r="H68" s="3">
        <v>12</v>
      </c>
      <c r="I68" s="5">
        <f t="shared" si="1"/>
        <v>4.3956043956043959E-2</v>
      </c>
      <c r="J68" s="6">
        <f t="shared" si="6"/>
        <v>43956.043956043963</v>
      </c>
      <c r="K68" s="7">
        <v>1.55</v>
      </c>
      <c r="L68" s="3">
        <v>421</v>
      </c>
      <c r="M68" s="3">
        <v>450</v>
      </c>
      <c r="N68" s="3">
        <v>29</v>
      </c>
      <c r="O68" s="5">
        <f t="shared" si="2"/>
        <v>0.93555555555555558</v>
      </c>
      <c r="P68" s="5">
        <f t="shared" si="3"/>
        <v>1.0051068883610452</v>
      </c>
      <c r="Q68" s="5">
        <f t="shared" si="4"/>
        <v>0.95604395604395609</v>
      </c>
      <c r="R68" s="5">
        <f t="shared" si="5"/>
        <v>0.89900000000000013</v>
      </c>
    </row>
    <row r="69" spans="1:18" x14ac:dyDescent="0.25">
      <c r="A69" s="3">
        <v>65</v>
      </c>
      <c r="B69" s="4">
        <v>46270</v>
      </c>
      <c r="C69" s="3" t="s">
        <v>25</v>
      </c>
      <c r="D69" s="3" t="s">
        <v>21</v>
      </c>
      <c r="E69" s="3" t="s">
        <v>24</v>
      </c>
      <c r="F69" s="3">
        <v>349</v>
      </c>
      <c r="G69" s="3">
        <v>336</v>
      </c>
      <c r="H69" s="3">
        <v>13</v>
      </c>
      <c r="I69" s="5">
        <f t="shared" ref="I69:I132" si="7">IFERROR(H69/F69,0)</f>
        <v>3.7249283667621778E-2</v>
      </c>
      <c r="J69" s="6">
        <f t="shared" si="6"/>
        <v>37249.283667621778</v>
      </c>
      <c r="K69" s="7">
        <v>1.17</v>
      </c>
      <c r="L69" s="3">
        <v>428</v>
      </c>
      <c r="M69" s="3">
        <v>450</v>
      </c>
      <c r="N69" s="3">
        <v>22</v>
      </c>
      <c r="O69" s="5">
        <f t="shared" ref="O69:O132" si="8">IFERROR(L69/M69,0)</f>
        <v>0.95111111111111113</v>
      </c>
      <c r="P69" s="5">
        <f t="shared" ref="P69:P132" si="9">IFERROR(F69*K69/L69,0)</f>
        <v>0.95404205607476633</v>
      </c>
      <c r="Q69" s="5">
        <f t="shared" ref="Q69:Q132" si="10">IFERROR(G69/F69,0)</f>
        <v>0.96275071633237819</v>
      </c>
      <c r="R69" s="5">
        <f t="shared" ref="R69:R132" si="11">O69*P69*Q69</f>
        <v>0.87359999999999993</v>
      </c>
    </row>
    <row r="70" spans="1:18" x14ac:dyDescent="0.25">
      <c r="A70" s="3">
        <v>66</v>
      </c>
      <c r="B70" s="4">
        <v>46270</v>
      </c>
      <c r="C70" s="3" t="s">
        <v>25</v>
      </c>
      <c r="D70" s="3" t="s">
        <v>23</v>
      </c>
      <c r="E70" s="3" t="s">
        <v>32</v>
      </c>
      <c r="F70" s="3">
        <v>342</v>
      </c>
      <c r="G70" s="3">
        <v>330</v>
      </c>
      <c r="H70" s="3">
        <v>12</v>
      </c>
      <c r="I70" s="5">
        <f t="shared" si="7"/>
        <v>3.5087719298245612E-2</v>
      </c>
      <c r="J70" s="6">
        <f t="shared" ref="J70:J133" si="12">H70/F70*1000000</f>
        <v>35087.719298245611</v>
      </c>
      <c r="K70" s="7">
        <v>1.17</v>
      </c>
      <c r="L70" s="3">
        <v>419</v>
      </c>
      <c r="M70" s="3">
        <v>450</v>
      </c>
      <c r="N70" s="3">
        <v>31</v>
      </c>
      <c r="O70" s="5">
        <f t="shared" si="8"/>
        <v>0.93111111111111111</v>
      </c>
      <c r="P70" s="5">
        <f t="shared" si="9"/>
        <v>0.95498806682577564</v>
      </c>
      <c r="Q70" s="5">
        <f t="shared" si="10"/>
        <v>0.96491228070175439</v>
      </c>
      <c r="R70" s="5">
        <f t="shared" si="11"/>
        <v>0.85799999999999998</v>
      </c>
    </row>
    <row r="71" spans="1:18" x14ac:dyDescent="0.25">
      <c r="A71" s="3">
        <v>67</v>
      </c>
      <c r="B71" s="4">
        <v>46270</v>
      </c>
      <c r="C71" s="3" t="s">
        <v>28</v>
      </c>
      <c r="D71" s="3" t="s">
        <v>19</v>
      </c>
      <c r="E71" s="3" t="s">
        <v>35</v>
      </c>
      <c r="F71" s="3">
        <v>267</v>
      </c>
      <c r="G71" s="3">
        <v>261</v>
      </c>
      <c r="H71" s="3">
        <v>6</v>
      </c>
      <c r="I71" s="5">
        <f t="shared" si="7"/>
        <v>2.247191011235955E-2</v>
      </c>
      <c r="J71" s="6">
        <f t="shared" si="12"/>
        <v>22471.91011235955</v>
      </c>
      <c r="K71" s="7">
        <v>1.33</v>
      </c>
      <c r="L71" s="3">
        <v>427</v>
      </c>
      <c r="M71" s="3">
        <v>450</v>
      </c>
      <c r="N71" s="3">
        <v>23</v>
      </c>
      <c r="O71" s="5">
        <f t="shared" si="8"/>
        <v>0.94888888888888889</v>
      </c>
      <c r="P71" s="5">
        <f t="shared" si="9"/>
        <v>0.83163934426229513</v>
      </c>
      <c r="Q71" s="5">
        <f t="shared" si="10"/>
        <v>0.97752808988764039</v>
      </c>
      <c r="R71" s="5">
        <f t="shared" si="11"/>
        <v>0.77139999999999997</v>
      </c>
    </row>
    <row r="72" spans="1:18" x14ac:dyDescent="0.25">
      <c r="A72" s="3">
        <v>68</v>
      </c>
      <c r="B72" s="4">
        <v>46270</v>
      </c>
      <c r="C72" s="3" t="s">
        <v>28</v>
      </c>
      <c r="D72" s="3" t="s">
        <v>21</v>
      </c>
      <c r="E72" s="3" t="s">
        <v>29</v>
      </c>
      <c r="F72" s="3">
        <v>260</v>
      </c>
      <c r="G72" s="3">
        <v>250</v>
      </c>
      <c r="H72" s="3">
        <v>10</v>
      </c>
      <c r="I72" s="5">
        <f t="shared" si="7"/>
        <v>3.8461538461538464E-2</v>
      </c>
      <c r="J72" s="6">
        <f t="shared" si="12"/>
        <v>38461.538461538461</v>
      </c>
      <c r="K72" s="7">
        <v>1.2</v>
      </c>
      <c r="L72" s="3">
        <v>400</v>
      </c>
      <c r="M72" s="3">
        <v>450</v>
      </c>
      <c r="N72" s="3">
        <v>50</v>
      </c>
      <c r="O72" s="5">
        <f t="shared" si="8"/>
        <v>0.88888888888888884</v>
      </c>
      <c r="P72" s="5">
        <f t="shared" si="9"/>
        <v>0.78</v>
      </c>
      <c r="Q72" s="5">
        <f t="shared" si="10"/>
        <v>0.96153846153846156</v>
      </c>
      <c r="R72" s="5">
        <f t="shared" si="11"/>
        <v>0.66666666666666674</v>
      </c>
    </row>
    <row r="73" spans="1:18" x14ac:dyDescent="0.25">
      <c r="A73" s="3">
        <v>69</v>
      </c>
      <c r="B73" s="4">
        <v>46270</v>
      </c>
      <c r="C73" s="3" t="s">
        <v>28</v>
      </c>
      <c r="D73" s="3" t="s">
        <v>23</v>
      </c>
      <c r="E73" s="3" t="s">
        <v>24</v>
      </c>
      <c r="F73" s="3">
        <v>338</v>
      </c>
      <c r="G73" s="3">
        <v>327</v>
      </c>
      <c r="H73" s="3">
        <v>11</v>
      </c>
      <c r="I73" s="5">
        <f t="shared" si="7"/>
        <v>3.2544378698224852E-2</v>
      </c>
      <c r="J73" s="6">
        <f t="shared" si="12"/>
        <v>32544.378698224853</v>
      </c>
      <c r="K73" s="7">
        <v>1.23</v>
      </c>
      <c r="L73" s="3">
        <v>423</v>
      </c>
      <c r="M73" s="3">
        <v>450</v>
      </c>
      <c r="N73" s="3">
        <v>27</v>
      </c>
      <c r="O73" s="5">
        <f t="shared" si="8"/>
        <v>0.94</v>
      </c>
      <c r="P73" s="5">
        <f t="shared" si="9"/>
        <v>0.9828368794326241</v>
      </c>
      <c r="Q73" s="5">
        <f t="shared" si="10"/>
        <v>0.96745562130177509</v>
      </c>
      <c r="R73" s="5">
        <f t="shared" si="11"/>
        <v>0.89379999999999993</v>
      </c>
    </row>
    <row r="74" spans="1:18" x14ac:dyDescent="0.25">
      <c r="A74" s="3">
        <v>70</v>
      </c>
      <c r="B74" s="4">
        <v>46270</v>
      </c>
      <c r="C74" s="3" t="s">
        <v>30</v>
      </c>
      <c r="D74" s="3" t="s">
        <v>19</v>
      </c>
      <c r="E74" s="3" t="s">
        <v>22</v>
      </c>
      <c r="F74" s="3">
        <v>265</v>
      </c>
      <c r="G74" s="3">
        <v>255</v>
      </c>
      <c r="H74" s="3">
        <v>10</v>
      </c>
      <c r="I74" s="5">
        <f t="shared" si="7"/>
        <v>3.7735849056603772E-2</v>
      </c>
      <c r="J74" s="6">
        <f t="shared" si="12"/>
        <v>37735.849056603773</v>
      </c>
      <c r="K74" s="7">
        <v>1.45</v>
      </c>
      <c r="L74" s="3">
        <v>438</v>
      </c>
      <c r="M74" s="3">
        <v>450</v>
      </c>
      <c r="N74" s="3">
        <v>12</v>
      </c>
      <c r="O74" s="5">
        <f t="shared" si="8"/>
        <v>0.97333333333333338</v>
      </c>
      <c r="P74" s="5">
        <f t="shared" si="9"/>
        <v>0.87728310502283102</v>
      </c>
      <c r="Q74" s="5">
        <f t="shared" si="10"/>
        <v>0.96226415094339623</v>
      </c>
      <c r="R74" s="5">
        <f t="shared" si="11"/>
        <v>0.82166666666666666</v>
      </c>
    </row>
    <row r="75" spans="1:18" x14ac:dyDescent="0.25">
      <c r="A75" s="3">
        <v>71</v>
      </c>
      <c r="B75" s="4">
        <v>46270</v>
      </c>
      <c r="C75" s="3" t="s">
        <v>30</v>
      </c>
      <c r="D75" s="3" t="s">
        <v>21</v>
      </c>
      <c r="E75" s="3" t="s">
        <v>24</v>
      </c>
      <c r="F75" s="3">
        <v>316</v>
      </c>
      <c r="G75" s="3">
        <v>306</v>
      </c>
      <c r="H75" s="3">
        <v>10</v>
      </c>
      <c r="I75" s="5">
        <f t="shared" si="7"/>
        <v>3.1645569620253167E-2</v>
      </c>
      <c r="J75" s="6">
        <f t="shared" si="12"/>
        <v>31645.569620253165</v>
      </c>
      <c r="K75" s="7">
        <v>0.95</v>
      </c>
      <c r="L75" s="3">
        <v>386</v>
      </c>
      <c r="M75" s="3">
        <v>450</v>
      </c>
      <c r="N75" s="3">
        <v>64</v>
      </c>
      <c r="O75" s="5">
        <f t="shared" si="8"/>
        <v>0.85777777777777775</v>
      </c>
      <c r="P75" s="5">
        <f t="shared" si="9"/>
        <v>0.77772020725388602</v>
      </c>
      <c r="Q75" s="5">
        <f t="shared" si="10"/>
        <v>0.96835443037974689</v>
      </c>
      <c r="R75" s="5">
        <f t="shared" si="11"/>
        <v>0.64600000000000002</v>
      </c>
    </row>
    <row r="76" spans="1:18" x14ac:dyDescent="0.25">
      <c r="A76" s="3">
        <v>72</v>
      </c>
      <c r="B76" s="4">
        <v>46270</v>
      </c>
      <c r="C76" s="3" t="s">
        <v>30</v>
      </c>
      <c r="D76" s="3" t="s">
        <v>23</v>
      </c>
      <c r="E76" s="3" t="s">
        <v>24</v>
      </c>
      <c r="F76" s="3">
        <v>272</v>
      </c>
      <c r="G76" s="3">
        <v>266</v>
      </c>
      <c r="H76" s="3">
        <v>6</v>
      </c>
      <c r="I76" s="5">
        <f t="shared" si="7"/>
        <v>2.2058823529411766E-2</v>
      </c>
      <c r="J76" s="6">
        <f t="shared" si="12"/>
        <v>22058.823529411766</v>
      </c>
      <c r="K76" s="7">
        <v>1.39</v>
      </c>
      <c r="L76" s="3">
        <v>411</v>
      </c>
      <c r="M76" s="3">
        <v>450</v>
      </c>
      <c r="N76" s="3">
        <v>39</v>
      </c>
      <c r="O76" s="5">
        <f t="shared" si="8"/>
        <v>0.91333333333333333</v>
      </c>
      <c r="P76" s="5">
        <f t="shared" si="9"/>
        <v>0.91990267639902668</v>
      </c>
      <c r="Q76" s="5">
        <f t="shared" si="10"/>
        <v>0.9779411764705882</v>
      </c>
      <c r="R76" s="5">
        <f t="shared" si="11"/>
        <v>0.82164444444444429</v>
      </c>
    </row>
    <row r="77" spans="1:18" x14ac:dyDescent="0.25">
      <c r="A77" s="3">
        <v>73</v>
      </c>
      <c r="B77" s="4">
        <v>46270</v>
      </c>
      <c r="C77" s="3" t="s">
        <v>33</v>
      </c>
      <c r="D77" s="3" t="s">
        <v>19</v>
      </c>
      <c r="E77" s="3" t="s">
        <v>31</v>
      </c>
      <c r="F77" s="3">
        <v>228</v>
      </c>
      <c r="G77" s="3">
        <v>218</v>
      </c>
      <c r="H77" s="3">
        <v>10</v>
      </c>
      <c r="I77" s="5">
        <f t="shared" si="7"/>
        <v>4.3859649122807015E-2</v>
      </c>
      <c r="J77" s="6">
        <f t="shared" si="12"/>
        <v>43859.649122807015</v>
      </c>
      <c r="K77" s="7">
        <v>1.52</v>
      </c>
      <c r="L77" s="3">
        <v>408</v>
      </c>
      <c r="M77" s="3">
        <v>450</v>
      </c>
      <c r="N77" s="3">
        <v>42</v>
      </c>
      <c r="O77" s="5">
        <f t="shared" si="8"/>
        <v>0.90666666666666662</v>
      </c>
      <c r="P77" s="5">
        <f t="shared" si="9"/>
        <v>0.84941176470588231</v>
      </c>
      <c r="Q77" s="5">
        <f t="shared" si="10"/>
        <v>0.95614035087719296</v>
      </c>
      <c r="R77" s="5">
        <f t="shared" si="11"/>
        <v>0.73635555555555543</v>
      </c>
    </row>
    <row r="78" spans="1:18" x14ac:dyDescent="0.25">
      <c r="A78" s="3">
        <v>74</v>
      </c>
      <c r="B78" s="4">
        <v>46270</v>
      </c>
      <c r="C78" s="3" t="s">
        <v>33</v>
      </c>
      <c r="D78" s="3" t="s">
        <v>21</v>
      </c>
      <c r="E78" s="3" t="s">
        <v>31</v>
      </c>
      <c r="F78" s="3">
        <v>300</v>
      </c>
      <c r="G78" s="3">
        <v>287</v>
      </c>
      <c r="H78" s="3">
        <v>13</v>
      </c>
      <c r="I78" s="5">
        <f t="shared" si="7"/>
        <v>4.3333333333333335E-2</v>
      </c>
      <c r="J78" s="6">
        <f t="shared" si="12"/>
        <v>43333.333333333336</v>
      </c>
      <c r="K78" s="7">
        <v>1.38</v>
      </c>
      <c r="L78" s="3">
        <v>404</v>
      </c>
      <c r="M78" s="3">
        <v>450</v>
      </c>
      <c r="N78" s="3">
        <v>46</v>
      </c>
      <c r="O78" s="5">
        <f t="shared" si="8"/>
        <v>0.89777777777777779</v>
      </c>
      <c r="P78" s="5">
        <f t="shared" si="9"/>
        <v>1.0247524752475246</v>
      </c>
      <c r="Q78" s="5">
        <f t="shared" si="10"/>
        <v>0.95666666666666667</v>
      </c>
      <c r="R78" s="5">
        <f t="shared" si="11"/>
        <v>0.88013333333333321</v>
      </c>
    </row>
    <row r="79" spans="1:18" x14ac:dyDescent="0.25">
      <c r="A79" s="3">
        <v>75</v>
      </c>
      <c r="B79" s="4">
        <v>46270</v>
      </c>
      <c r="C79" s="3" t="s">
        <v>33</v>
      </c>
      <c r="D79" s="3" t="s">
        <v>23</v>
      </c>
      <c r="E79" s="3" t="s">
        <v>34</v>
      </c>
      <c r="F79" s="3">
        <v>216</v>
      </c>
      <c r="G79" s="3">
        <v>214</v>
      </c>
      <c r="H79" s="3">
        <v>2</v>
      </c>
      <c r="I79" s="5">
        <f t="shared" si="7"/>
        <v>9.2592592592592587E-3</v>
      </c>
      <c r="J79" s="6">
        <f t="shared" si="12"/>
        <v>9259.2592592592591</v>
      </c>
      <c r="K79" s="7">
        <v>1.68</v>
      </c>
      <c r="L79" s="3">
        <v>391</v>
      </c>
      <c r="M79" s="3">
        <v>450</v>
      </c>
      <c r="N79" s="3">
        <v>59</v>
      </c>
      <c r="O79" s="5">
        <f t="shared" si="8"/>
        <v>0.86888888888888893</v>
      </c>
      <c r="P79" s="5">
        <f t="shared" si="9"/>
        <v>0.92808184143222505</v>
      </c>
      <c r="Q79" s="5">
        <f t="shared" si="10"/>
        <v>0.9907407407407407</v>
      </c>
      <c r="R79" s="5">
        <f t="shared" si="11"/>
        <v>0.79893333333333327</v>
      </c>
    </row>
    <row r="80" spans="1:18" x14ac:dyDescent="0.25">
      <c r="A80" s="3">
        <v>76</v>
      </c>
      <c r="B80" s="4">
        <v>46271</v>
      </c>
      <c r="C80" s="3" t="s">
        <v>18</v>
      </c>
      <c r="D80" s="3" t="s">
        <v>19</v>
      </c>
      <c r="E80" s="3" t="s">
        <v>27</v>
      </c>
      <c r="F80" s="3">
        <v>339</v>
      </c>
      <c r="G80" s="3">
        <v>331</v>
      </c>
      <c r="H80" s="3">
        <v>8</v>
      </c>
      <c r="I80" s="5">
        <f t="shared" si="7"/>
        <v>2.359882005899705E-2</v>
      </c>
      <c r="J80" s="6">
        <f t="shared" si="12"/>
        <v>23598.820058997051</v>
      </c>
      <c r="K80" s="7">
        <v>1.1399999999999999</v>
      </c>
      <c r="L80" s="3">
        <v>399</v>
      </c>
      <c r="M80" s="3">
        <v>450</v>
      </c>
      <c r="N80" s="3">
        <v>51</v>
      </c>
      <c r="O80" s="5">
        <f t="shared" si="8"/>
        <v>0.88666666666666671</v>
      </c>
      <c r="P80" s="5">
        <f t="shared" si="9"/>
        <v>0.96857142857142853</v>
      </c>
      <c r="Q80" s="5">
        <f t="shared" si="10"/>
        <v>0.97640117994100295</v>
      </c>
      <c r="R80" s="5">
        <f t="shared" si="11"/>
        <v>0.83853333333333335</v>
      </c>
    </row>
    <row r="81" spans="1:18" x14ac:dyDescent="0.25">
      <c r="A81" s="3">
        <v>77</v>
      </c>
      <c r="B81" s="4">
        <v>46271</v>
      </c>
      <c r="C81" s="3" t="s">
        <v>18</v>
      </c>
      <c r="D81" s="3" t="s">
        <v>21</v>
      </c>
      <c r="E81" s="3" t="s">
        <v>34</v>
      </c>
      <c r="F81" s="3">
        <v>214</v>
      </c>
      <c r="G81" s="3">
        <v>209</v>
      </c>
      <c r="H81" s="3">
        <v>5</v>
      </c>
      <c r="I81" s="5">
        <f t="shared" si="7"/>
        <v>2.336448598130841E-2</v>
      </c>
      <c r="J81" s="6">
        <f t="shared" si="12"/>
        <v>23364.485981308411</v>
      </c>
      <c r="K81" s="7">
        <v>1.61</v>
      </c>
      <c r="L81" s="3">
        <v>394</v>
      </c>
      <c r="M81" s="3">
        <v>450</v>
      </c>
      <c r="N81" s="3">
        <v>56</v>
      </c>
      <c r="O81" s="5">
        <f t="shared" si="8"/>
        <v>0.87555555555555553</v>
      </c>
      <c r="P81" s="5">
        <f t="shared" si="9"/>
        <v>0.87446700507614217</v>
      </c>
      <c r="Q81" s="5">
        <f t="shared" si="10"/>
        <v>0.97663551401869164</v>
      </c>
      <c r="R81" s="5">
        <f t="shared" si="11"/>
        <v>0.74775555555555562</v>
      </c>
    </row>
    <row r="82" spans="1:18" x14ac:dyDescent="0.25">
      <c r="A82" s="3">
        <v>78</v>
      </c>
      <c r="B82" s="4">
        <v>46271</v>
      </c>
      <c r="C82" s="3" t="s">
        <v>18</v>
      </c>
      <c r="D82" s="3" t="s">
        <v>23</v>
      </c>
      <c r="E82" s="3" t="s">
        <v>29</v>
      </c>
      <c r="F82" s="3">
        <v>361</v>
      </c>
      <c r="G82" s="3">
        <v>358</v>
      </c>
      <c r="H82" s="3">
        <v>3</v>
      </c>
      <c r="I82" s="5">
        <f t="shared" si="7"/>
        <v>8.3102493074792248E-3</v>
      </c>
      <c r="J82" s="6">
        <f t="shared" si="12"/>
        <v>8310.2493074792255</v>
      </c>
      <c r="K82" s="7">
        <v>0.98</v>
      </c>
      <c r="L82" s="3">
        <v>439</v>
      </c>
      <c r="M82" s="3">
        <v>450</v>
      </c>
      <c r="N82" s="3">
        <v>11</v>
      </c>
      <c r="O82" s="5">
        <f t="shared" si="8"/>
        <v>0.97555555555555551</v>
      </c>
      <c r="P82" s="5">
        <f t="shared" si="9"/>
        <v>0.80587699316628691</v>
      </c>
      <c r="Q82" s="5">
        <f t="shared" si="10"/>
        <v>0.99168975069252074</v>
      </c>
      <c r="R82" s="5">
        <f t="shared" si="11"/>
        <v>0.77964444444444425</v>
      </c>
    </row>
    <row r="83" spans="1:18" x14ac:dyDescent="0.25">
      <c r="A83" s="3">
        <v>79</v>
      </c>
      <c r="B83" s="4">
        <v>46271</v>
      </c>
      <c r="C83" s="3" t="s">
        <v>25</v>
      </c>
      <c r="D83" s="3" t="s">
        <v>19</v>
      </c>
      <c r="E83" s="3" t="s">
        <v>34</v>
      </c>
      <c r="F83" s="3">
        <v>196</v>
      </c>
      <c r="G83" s="3">
        <v>195</v>
      </c>
      <c r="H83" s="3">
        <v>1</v>
      </c>
      <c r="I83" s="5">
        <f t="shared" si="7"/>
        <v>5.1020408163265302E-3</v>
      </c>
      <c r="J83" s="6">
        <f t="shared" si="12"/>
        <v>5102.0408163265301</v>
      </c>
      <c r="K83" s="7">
        <v>1.56</v>
      </c>
      <c r="L83" s="3">
        <v>386</v>
      </c>
      <c r="M83" s="3">
        <v>450</v>
      </c>
      <c r="N83" s="3">
        <v>64</v>
      </c>
      <c r="O83" s="5">
        <f t="shared" si="8"/>
        <v>0.85777777777777775</v>
      </c>
      <c r="P83" s="5">
        <f t="shared" si="9"/>
        <v>0.79212435233160616</v>
      </c>
      <c r="Q83" s="5">
        <f t="shared" si="10"/>
        <v>0.99489795918367352</v>
      </c>
      <c r="R83" s="5">
        <f t="shared" si="11"/>
        <v>0.67599999999999993</v>
      </c>
    </row>
    <row r="84" spans="1:18" x14ac:dyDescent="0.25">
      <c r="A84" s="3">
        <v>80</v>
      </c>
      <c r="B84" s="4">
        <v>46271</v>
      </c>
      <c r="C84" s="3" t="s">
        <v>25</v>
      </c>
      <c r="D84" s="3" t="s">
        <v>21</v>
      </c>
      <c r="E84" s="3" t="s">
        <v>35</v>
      </c>
      <c r="F84" s="3">
        <v>328</v>
      </c>
      <c r="G84" s="3">
        <v>317</v>
      </c>
      <c r="H84" s="3">
        <v>11</v>
      </c>
      <c r="I84" s="5">
        <f t="shared" si="7"/>
        <v>3.3536585365853661E-2</v>
      </c>
      <c r="J84" s="6">
        <f t="shared" si="12"/>
        <v>33536.585365853658</v>
      </c>
      <c r="K84" s="7">
        <v>1.04</v>
      </c>
      <c r="L84" s="3">
        <v>416</v>
      </c>
      <c r="M84" s="3">
        <v>450</v>
      </c>
      <c r="N84" s="3">
        <v>34</v>
      </c>
      <c r="O84" s="5">
        <f t="shared" si="8"/>
        <v>0.9244444444444444</v>
      </c>
      <c r="P84" s="5">
        <f t="shared" si="9"/>
        <v>0.82000000000000006</v>
      </c>
      <c r="Q84" s="5">
        <f t="shared" si="10"/>
        <v>0.96646341463414631</v>
      </c>
      <c r="R84" s="5">
        <f t="shared" si="11"/>
        <v>0.73262222222222229</v>
      </c>
    </row>
    <row r="85" spans="1:18" x14ac:dyDescent="0.25">
      <c r="A85" s="3">
        <v>81</v>
      </c>
      <c r="B85" s="4">
        <v>46271</v>
      </c>
      <c r="C85" s="3" t="s">
        <v>25</v>
      </c>
      <c r="D85" s="3" t="s">
        <v>23</v>
      </c>
      <c r="E85" s="3" t="s">
        <v>35</v>
      </c>
      <c r="F85" s="3">
        <v>252</v>
      </c>
      <c r="G85" s="3">
        <v>250</v>
      </c>
      <c r="H85" s="3">
        <v>2</v>
      </c>
      <c r="I85" s="5">
        <f t="shared" si="7"/>
        <v>7.9365079365079361E-3</v>
      </c>
      <c r="J85" s="6">
        <f t="shared" si="12"/>
        <v>7936.5079365079364</v>
      </c>
      <c r="K85" s="7">
        <v>1.5</v>
      </c>
      <c r="L85" s="3">
        <v>408</v>
      </c>
      <c r="M85" s="3">
        <v>450</v>
      </c>
      <c r="N85" s="3">
        <v>42</v>
      </c>
      <c r="O85" s="5">
        <f t="shared" si="8"/>
        <v>0.90666666666666662</v>
      </c>
      <c r="P85" s="5">
        <f t="shared" si="9"/>
        <v>0.92647058823529416</v>
      </c>
      <c r="Q85" s="5">
        <f t="shared" si="10"/>
        <v>0.99206349206349209</v>
      </c>
      <c r="R85" s="5">
        <f t="shared" si="11"/>
        <v>0.83333333333333337</v>
      </c>
    </row>
    <row r="86" spans="1:18" x14ac:dyDescent="0.25">
      <c r="A86" s="3">
        <v>82</v>
      </c>
      <c r="B86" s="4">
        <v>46271</v>
      </c>
      <c r="C86" s="3" t="s">
        <v>28</v>
      </c>
      <c r="D86" s="3" t="s">
        <v>19</v>
      </c>
      <c r="E86" s="3" t="s">
        <v>29</v>
      </c>
      <c r="F86" s="3">
        <v>548</v>
      </c>
      <c r="G86" s="3">
        <v>534</v>
      </c>
      <c r="H86" s="3">
        <v>14</v>
      </c>
      <c r="I86" s="5">
        <f t="shared" si="7"/>
        <v>2.5547445255474453E-2</v>
      </c>
      <c r="J86" s="6">
        <f t="shared" si="12"/>
        <v>25547.445255474453</v>
      </c>
      <c r="K86" s="7">
        <v>0.79</v>
      </c>
      <c r="L86" s="3">
        <v>432</v>
      </c>
      <c r="M86" s="3">
        <v>450</v>
      </c>
      <c r="N86" s="3">
        <v>18</v>
      </c>
      <c r="O86" s="5">
        <f t="shared" si="8"/>
        <v>0.96</v>
      </c>
      <c r="P86" s="5">
        <f t="shared" si="9"/>
        <v>1.0021296296296296</v>
      </c>
      <c r="Q86" s="5">
        <f t="shared" si="10"/>
        <v>0.97445255474452552</v>
      </c>
      <c r="R86" s="5">
        <f t="shared" si="11"/>
        <v>0.93746666666666656</v>
      </c>
    </row>
    <row r="87" spans="1:18" x14ac:dyDescent="0.25">
      <c r="A87" s="3">
        <v>83</v>
      </c>
      <c r="B87" s="4">
        <v>46271</v>
      </c>
      <c r="C87" s="3" t="s">
        <v>28</v>
      </c>
      <c r="D87" s="3" t="s">
        <v>21</v>
      </c>
      <c r="E87" s="3" t="s">
        <v>29</v>
      </c>
      <c r="F87" s="3">
        <v>221</v>
      </c>
      <c r="G87" s="3">
        <v>216</v>
      </c>
      <c r="H87" s="3">
        <v>5</v>
      </c>
      <c r="I87" s="5">
        <f t="shared" si="7"/>
        <v>2.2624434389140271E-2</v>
      </c>
      <c r="J87" s="6">
        <f t="shared" si="12"/>
        <v>22624.434389140271</v>
      </c>
      <c r="K87" s="7">
        <v>1.63</v>
      </c>
      <c r="L87" s="3">
        <v>418</v>
      </c>
      <c r="M87" s="3">
        <v>450</v>
      </c>
      <c r="N87" s="3">
        <v>32</v>
      </c>
      <c r="O87" s="5">
        <f t="shared" si="8"/>
        <v>0.92888888888888888</v>
      </c>
      <c r="P87" s="5">
        <f t="shared" si="9"/>
        <v>0.86179425837320567</v>
      </c>
      <c r="Q87" s="5">
        <f t="shared" si="10"/>
        <v>0.9773755656108597</v>
      </c>
      <c r="R87" s="5">
        <f t="shared" si="11"/>
        <v>0.78239999999999987</v>
      </c>
    </row>
    <row r="88" spans="1:18" x14ac:dyDescent="0.25">
      <c r="A88" s="3">
        <v>84</v>
      </c>
      <c r="B88" s="4">
        <v>46271</v>
      </c>
      <c r="C88" s="3" t="s">
        <v>28</v>
      </c>
      <c r="D88" s="3" t="s">
        <v>23</v>
      </c>
      <c r="E88" s="3" t="s">
        <v>32</v>
      </c>
      <c r="F88" s="3">
        <v>423</v>
      </c>
      <c r="G88" s="3">
        <v>420</v>
      </c>
      <c r="H88" s="3">
        <v>3</v>
      </c>
      <c r="I88" s="5">
        <f t="shared" si="7"/>
        <v>7.0921985815602835E-3</v>
      </c>
      <c r="J88" s="6">
        <f t="shared" si="12"/>
        <v>7092.1985815602839</v>
      </c>
      <c r="K88" s="7">
        <v>1.05</v>
      </c>
      <c r="L88" s="3">
        <v>432</v>
      </c>
      <c r="M88" s="3">
        <v>450</v>
      </c>
      <c r="N88" s="3">
        <v>18</v>
      </c>
      <c r="O88" s="5">
        <f t="shared" si="8"/>
        <v>0.96</v>
      </c>
      <c r="P88" s="5">
        <f t="shared" si="9"/>
        <v>1.0281250000000002</v>
      </c>
      <c r="Q88" s="5">
        <f t="shared" si="10"/>
        <v>0.99290780141843971</v>
      </c>
      <c r="R88" s="5">
        <f t="shared" si="11"/>
        <v>0.98000000000000009</v>
      </c>
    </row>
    <row r="89" spans="1:18" x14ac:dyDescent="0.25">
      <c r="A89" s="3">
        <v>85</v>
      </c>
      <c r="B89" s="4">
        <v>46271</v>
      </c>
      <c r="C89" s="3" t="s">
        <v>30</v>
      </c>
      <c r="D89" s="3" t="s">
        <v>19</v>
      </c>
      <c r="E89" s="3" t="s">
        <v>34</v>
      </c>
      <c r="F89" s="3">
        <v>240</v>
      </c>
      <c r="G89" s="3">
        <v>236</v>
      </c>
      <c r="H89" s="3">
        <v>4</v>
      </c>
      <c r="I89" s="5">
        <f t="shared" si="7"/>
        <v>1.6666666666666666E-2</v>
      </c>
      <c r="J89" s="6">
        <f t="shared" si="12"/>
        <v>16666.666666666668</v>
      </c>
      <c r="K89" s="7">
        <v>1.59</v>
      </c>
      <c r="L89" s="3">
        <v>417</v>
      </c>
      <c r="M89" s="3">
        <v>450</v>
      </c>
      <c r="N89" s="3">
        <v>33</v>
      </c>
      <c r="O89" s="5">
        <f t="shared" si="8"/>
        <v>0.92666666666666664</v>
      </c>
      <c r="P89" s="5">
        <f t="shared" si="9"/>
        <v>0.91510791366906485</v>
      </c>
      <c r="Q89" s="5">
        <f t="shared" si="10"/>
        <v>0.98333333333333328</v>
      </c>
      <c r="R89" s="5">
        <f t="shared" si="11"/>
        <v>0.83386666666666676</v>
      </c>
    </row>
    <row r="90" spans="1:18" x14ac:dyDescent="0.25">
      <c r="A90" s="3">
        <v>86</v>
      </c>
      <c r="B90" s="4">
        <v>46271</v>
      </c>
      <c r="C90" s="3" t="s">
        <v>30</v>
      </c>
      <c r="D90" s="3" t="s">
        <v>21</v>
      </c>
      <c r="E90" s="3" t="s">
        <v>35</v>
      </c>
      <c r="F90" s="3">
        <v>304</v>
      </c>
      <c r="G90" s="3">
        <v>293</v>
      </c>
      <c r="H90" s="3">
        <v>11</v>
      </c>
      <c r="I90" s="5">
        <f t="shared" si="7"/>
        <v>3.6184210526315791E-2</v>
      </c>
      <c r="J90" s="6">
        <f t="shared" si="12"/>
        <v>36184.210526315794</v>
      </c>
      <c r="K90" s="7">
        <v>1.1000000000000001</v>
      </c>
      <c r="L90" s="3">
        <v>393</v>
      </c>
      <c r="M90" s="3">
        <v>450</v>
      </c>
      <c r="N90" s="3">
        <v>57</v>
      </c>
      <c r="O90" s="5">
        <f t="shared" si="8"/>
        <v>0.87333333333333329</v>
      </c>
      <c r="P90" s="5">
        <f t="shared" si="9"/>
        <v>0.85089058524173034</v>
      </c>
      <c r="Q90" s="5">
        <f t="shared" si="10"/>
        <v>0.96381578947368418</v>
      </c>
      <c r="R90" s="5">
        <f t="shared" si="11"/>
        <v>0.7162222222222222</v>
      </c>
    </row>
    <row r="91" spans="1:18" x14ac:dyDescent="0.25">
      <c r="A91" s="3">
        <v>87</v>
      </c>
      <c r="B91" s="4">
        <v>46271</v>
      </c>
      <c r="C91" s="3" t="s">
        <v>30</v>
      </c>
      <c r="D91" s="3" t="s">
        <v>23</v>
      </c>
      <c r="E91" s="3" t="s">
        <v>26</v>
      </c>
      <c r="F91" s="3">
        <v>361</v>
      </c>
      <c r="G91" s="3">
        <v>352</v>
      </c>
      <c r="H91" s="3">
        <v>9</v>
      </c>
      <c r="I91" s="5">
        <f t="shared" si="7"/>
        <v>2.4930747922437674E-2</v>
      </c>
      <c r="J91" s="6">
        <f t="shared" si="12"/>
        <v>24930.747922437673</v>
      </c>
      <c r="K91" s="7">
        <v>1.07</v>
      </c>
      <c r="L91" s="3">
        <v>413</v>
      </c>
      <c r="M91" s="3">
        <v>450</v>
      </c>
      <c r="N91" s="3">
        <v>37</v>
      </c>
      <c r="O91" s="5">
        <f t="shared" si="8"/>
        <v>0.9177777777777778</v>
      </c>
      <c r="P91" s="5">
        <f t="shared" si="9"/>
        <v>0.93527845036319623</v>
      </c>
      <c r="Q91" s="5">
        <f t="shared" si="10"/>
        <v>0.97506925207756234</v>
      </c>
      <c r="R91" s="5">
        <f t="shared" si="11"/>
        <v>0.83697777777777793</v>
      </c>
    </row>
    <row r="92" spans="1:18" x14ac:dyDescent="0.25">
      <c r="A92" s="3">
        <v>88</v>
      </c>
      <c r="B92" s="4">
        <v>46271</v>
      </c>
      <c r="C92" s="3" t="s">
        <v>33</v>
      </c>
      <c r="D92" s="3" t="s">
        <v>19</v>
      </c>
      <c r="E92" s="3" t="s">
        <v>26</v>
      </c>
      <c r="F92" s="3">
        <v>255</v>
      </c>
      <c r="G92" s="3">
        <v>245</v>
      </c>
      <c r="H92" s="3">
        <v>10</v>
      </c>
      <c r="I92" s="5">
        <f t="shared" si="7"/>
        <v>3.9215686274509803E-2</v>
      </c>
      <c r="J92" s="6">
        <f t="shared" si="12"/>
        <v>39215.686274509804</v>
      </c>
      <c r="K92" s="7">
        <v>1.38</v>
      </c>
      <c r="L92" s="3">
        <v>389</v>
      </c>
      <c r="M92" s="3">
        <v>450</v>
      </c>
      <c r="N92" s="3">
        <v>61</v>
      </c>
      <c r="O92" s="5">
        <f t="shared" si="8"/>
        <v>0.86444444444444446</v>
      </c>
      <c r="P92" s="5">
        <f t="shared" si="9"/>
        <v>0.90462724935732641</v>
      </c>
      <c r="Q92" s="5">
        <f t="shared" si="10"/>
        <v>0.96078431372549022</v>
      </c>
      <c r="R92" s="5">
        <f t="shared" si="11"/>
        <v>0.7513333333333333</v>
      </c>
    </row>
    <row r="93" spans="1:18" x14ac:dyDescent="0.25">
      <c r="A93" s="3">
        <v>89</v>
      </c>
      <c r="B93" s="4">
        <v>46271</v>
      </c>
      <c r="C93" s="3" t="s">
        <v>33</v>
      </c>
      <c r="D93" s="3" t="s">
        <v>21</v>
      </c>
      <c r="E93" s="3" t="s">
        <v>31</v>
      </c>
      <c r="F93" s="3">
        <v>678</v>
      </c>
      <c r="G93" s="3">
        <v>651</v>
      </c>
      <c r="H93" s="3">
        <v>27</v>
      </c>
      <c r="I93" s="5">
        <f t="shared" si="7"/>
        <v>3.9823008849557522E-2</v>
      </c>
      <c r="J93" s="6">
        <f t="shared" si="12"/>
        <v>39823.008849557518</v>
      </c>
      <c r="K93" s="7">
        <v>0.62</v>
      </c>
      <c r="L93" s="3">
        <v>428</v>
      </c>
      <c r="M93" s="3">
        <v>450</v>
      </c>
      <c r="N93" s="3">
        <v>22</v>
      </c>
      <c r="O93" s="5">
        <f t="shared" si="8"/>
        <v>0.95111111111111113</v>
      </c>
      <c r="P93" s="5">
        <f t="shared" si="9"/>
        <v>0.98214953271028038</v>
      </c>
      <c r="Q93" s="5">
        <f t="shared" si="10"/>
        <v>0.96017699115044253</v>
      </c>
      <c r="R93" s="5">
        <f t="shared" si="11"/>
        <v>0.89693333333333336</v>
      </c>
    </row>
    <row r="94" spans="1:18" x14ac:dyDescent="0.25">
      <c r="A94" s="3">
        <v>90</v>
      </c>
      <c r="B94" s="4">
        <v>46271</v>
      </c>
      <c r="C94" s="3" t="s">
        <v>33</v>
      </c>
      <c r="D94" s="3" t="s">
        <v>23</v>
      </c>
      <c r="E94" s="3" t="s">
        <v>32</v>
      </c>
      <c r="F94" s="3">
        <v>363</v>
      </c>
      <c r="G94" s="3">
        <v>357</v>
      </c>
      <c r="H94" s="3">
        <v>6</v>
      </c>
      <c r="I94" s="5">
        <f t="shared" si="7"/>
        <v>1.6528925619834711E-2</v>
      </c>
      <c r="J94" s="6">
        <f t="shared" si="12"/>
        <v>16528.92561983471</v>
      </c>
      <c r="K94" s="7">
        <v>1.05</v>
      </c>
      <c r="L94" s="3">
        <v>386</v>
      </c>
      <c r="M94" s="3">
        <v>450</v>
      </c>
      <c r="N94" s="3">
        <v>64</v>
      </c>
      <c r="O94" s="5">
        <f t="shared" si="8"/>
        <v>0.85777777777777775</v>
      </c>
      <c r="P94" s="5">
        <f t="shared" si="9"/>
        <v>0.98743523316062187</v>
      </c>
      <c r="Q94" s="5">
        <f t="shared" si="10"/>
        <v>0.98347107438016534</v>
      </c>
      <c r="R94" s="5">
        <f t="shared" si="11"/>
        <v>0.83300000000000018</v>
      </c>
    </row>
    <row r="95" spans="1:18" x14ac:dyDescent="0.25">
      <c r="A95" s="3">
        <v>91</v>
      </c>
      <c r="B95" s="4">
        <v>46272</v>
      </c>
      <c r="C95" s="3" t="s">
        <v>18</v>
      </c>
      <c r="D95" s="3" t="s">
        <v>19</v>
      </c>
      <c r="E95" s="3" t="s">
        <v>26</v>
      </c>
      <c r="F95" s="3">
        <v>227</v>
      </c>
      <c r="G95" s="3">
        <v>222</v>
      </c>
      <c r="H95" s="3">
        <v>5</v>
      </c>
      <c r="I95" s="5">
        <f t="shared" si="7"/>
        <v>2.2026431718061675E-2</v>
      </c>
      <c r="J95" s="6">
        <f t="shared" si="12"/>
        <v>22026.431718061674</v>
      </c>
      <c r="K95" s="7">
        <v>1.45</v>
      </c>
      <c r="L95" s="3">
        <v>385</v>
      </c>
      <c r="M95" s="3">
        <v>450</v>
      </c>
      <c r="N95" s="3">
        <v>65</v>
      </c>
      <c r="O95" s="5">
        <f t="shared" si="8"/>
        <v>0.85555555555555551</v>
      </c>
      <c r="P95" s="5">
        <f t="shared" si="9"/>
        <v>0.85493506493506488</v>
      </c>
      <c r="Q95" s="5">
        <f t="shared" si="10"/>
        <v>0.97797356828193838</v>
      </c>
      <c r="R95" s="5">
        <f t="shared" si="11"/>
        <v>0.71533333333333327</v>
      </c>
    </row>
    <row r="96" spans="1:18" x14ac:dyDescent="0.25">
      <c r="A96" s="3">
        <v>92</v>
      </c>
      <c r="B96" s="4">
        <v>46272</v>
      </c>
      <c r="C96" s="3" t="s">
        <v>18</v>
      </c>
      <c r="D96" s="3" t="s">
        <v>21</v>
      </c>
      <c r="E96" s="3" t="s">
        <v>32</v>
      </c>
      <c r="F96" s="3">
        <v>467</v>
      </c>
      <c r="G96" s="3">
        <v>450</v>
      </c>
      <c r="H96" s="3">
        <v>17</v>
      </c>
      <c r="I96" s="5">
        <f t="shared" si="7"/>
        <v>3.6402569593147749E-2</v>
      </c>
      <c r="J96" s="6">
        <f t="shared" si="12"/>
        <v>36402.569593147746</v>
      </c>
      <c r="K96" s="7">
        <v>0.82</v>
      </c>
      <c r="L96" s="3">
        <v>437</v>
      </c>
      <c r="M96" s="3">
        <v>450</v>
      </c>
      <c r="N96" s="3">
        <v>13</v>
      </c>
      <c r="O96" s="5">
        <f t="shared" si="8"/>
        <v>0.97111111111111115</v>
      </c>
      <c r="P96" s="5">
        <f t="shared" si="9"/>
        <v>0.87629290617848965</v>
      </c>
      <c r="Q96" s="5">
        <f t="shared" si="10"/>
        <v>0.9635974304068522</v>
      </c>
      <c r="R96" s="5">
        <f t="shared" si="11"/>
        <v>0.82</v>
      </c>
    </row>
    <row r="97" spans="1:18" x14ac:dyDescent="0.25">
      <c r="A97" s="3">
        <v>93</v>
      </c>
      <c r="B97" s="4">
        <v>46272</v>
      </c>
      <c r="C97" s="3" t="s">
        <v>18</v>
      </c>
      <c r="D97" s="3" t="s">
        <v>23</v>
      </c>
      <c r="E97" s="3" t="s">
        <v>22</v>
      </c>
      <c r="F97" s="3">
        <v>444</v>
      </c>
      <c r="G97" s="3">
        <v>428</v>
      </c>
      <c r="H97" s="3">
        <v>16</v>
      </c>
      <c r="I97" s="5">
        <f t="shared" si="7"/>
        <v>3.6036036036036036E-2</v>
      </c>
      <c r="J97" s="6">
        <f t="shared" si="12"/>
        <v>36036.036036036036</v>
      </c>
      <c r="K97" s="7">
        <v>0.72</v>
      </c>
      <c r="L97" s="3">
        <v>401</v>
      </c>
      <c r="M97" s="3">
        <v>450</v>
      </c>
      <c r="N97" s="3">
        <v>49</v>
      </c>
      <c r="O97" s="5">
        <f t="shared" si="8"/>
        <v>0.89111111111111108</v>
      </c>
      <c r="P97" s="5">
        <f t="shared" si="9"/>
        <v>0.79720698254364086</v>
      </c>
      <c r="Q97" s="5">
        <f t="shared" si="10"/>
        <v>0.963963963963964</v>
      </c>
      <c r="R97" s="5">
        <f t="shared" si="11"/>
        <v>0.68479999999999996</v>
      </c>
    </row>
    <row r="98" spans="1:18" x14ac:dyDescent="0.25">
      <c r="A98" s="3">
        <v>94</v>
      </c>
      <c r="B98" s="4">
        <v>46272</v>
      </c>
      <c r="C98" s="3" t="s">
        <v>25</v>
      </c>
      <c r="D98" s="3" t="s">
        <v>19</v>
      </c>
      <c r="E98" s="3" t="s">
        <v>35</v>
      </c>
      <c r="F98" s="3">
        <v>234</v>
      </c>
      <c r="G98" s="3">
        <v>226</v>
      </c>
      <c r="H98" s="3">
        <v>8</v>
      </c>
      <c r="I98" s="5">
        <f t="shared" si="7"/>
        <v>3.4188034188034191E-2</v>
      </c>
      <c r="J98" s="6">
        <f t="shared" si="12"/>
        <v>34188.034188034195</v>
      </c>
      <c r="K98" s="7">
        <v>1.5</v>
      </c>
      <c r="L98" s="3">
        <v>400</v>
      </c>
      <c r="M98" s="3">
        <v>450</v>
      </c>
      <c r="N98" s="3">
        <v>50</v>
      </c>
      <c r="O98" s="5">
        <f t="shared" si="8"/>
        <v>0.88888888888888884</v>
      </c>
      <c r="P98" s="5">
        <f t="shared" si="9"/>
        <v>0.87749999999999995</v>
      </c>
      <c r="Q98" s="5">
        <f t="shared" si="10"/>
        <v>0.96581196581196582</v>
      </c>
      <c r="R98" s="5">
        <f t="shared" si="11"/>
        <v>0.7533333333333333</v>
      </c>
    </row>
    <row r="99" spans="1:18" x14ac:dyDescent="0.25">
      <c r="A99" s="3">
        <v>95</v>
      </c>
      <c r="B99" s="4">
        <v>46272</v>
      </c>
      <c r="C99" s="3" t="s">
        <v>25</v>
      </c>
      <c r="D99" s="3" t="s">
        <v>21</v>
      </c>
      <c r="E99" s="3" t="s">
        <v>34</v>
      </c>
      <c r="F99" s="3">
        <v>204</v>
      </c>
      <c r="G99" s="3">
        <v>199</v>
      </c>
      <c r="H99" s="3">
        <v>5</v>
      </c>
      <c r="I99" s="5">
        <f t="shared" si="7"/>
        <v>2.4509803921568627E-2</v>
      </c>
      <c r="J99" s="6">
        <f t="shared" si="12"/>
        <v>24509.803921568626</v>
      </c>
      <c r="K99" s="7">
        <v>1.68</v>
      </c>
      <c r="L99" s="3">
        <v>391</v>
      </c>
      <c r="M99" s="3">
        <v>450</v>
      </c>
      <c r="N99" s="3">
        <v>59</v>
      </c>
      <c r="O99" s="5">
        <f t="shared" si="8"/>
        <v>0.86888888888888893</v>
      </c>
      <c r="P99" s="5">
        <f t="shared" si="9"/>
        <v>0.87652173913043474</v>
      </c>
      <c r="Q99" s="5">
        <f t="shared" si="10"/>
        <v>0.97549019607843135</v>
      </c>
      <c r="R99" s="5">
        <f t="shared" si="11"/>
        <v>0.74293333333333333</v>
      </c>
    </row>
    <row r="100" spans="1:18" x14ac:dyDescent="0.25">
      <c r="A100" s="3">
        <v>96</v>
      </c>
      <c r="B100" s="4">
        <v>46272</v>
      </c>
      <c r="C100" s="3" t="s">
        <v>25</v>
      </c>
      <c r="D100" s="3" t="s">
        <v>23</v>
      </c>
      <c r="E100" s="3" t="s">
        <v>32</v>
      </c>
      <c r="F100" s="3">
        <v>228</v>
      </c>
      <c r="G100" s="3">
        <v>220</v>
      </c>
      <c r="H100" s="3">
        <v>8</v>
      </c>
      <c r="I100" s="5">
        <f t="shared" si="7"/>
        <v>3.5087719298245612E-2</v>
      </c>
      <c r="J100" s="6">
        <f t="shared" si="12"/>
        <v>35087.719298245611</v>
      </c>
      <c r="K100" s="7">
        <v>1.48</v>
      </c>
      <c r="L100" s="3">
        <v>397</v>
      </c>
      <c r="M100" s="3">
        <v>450</v>
      </c>
      <c r="N100" s="3">
        <v>53</v>
      </c>
      <c r="O100" s="5">
        <f t="shared" si="8"/>
        <v>0.88222222222222224</v>
      </c>
      <c r="P100" s="5">
        <f t="shared" si="9"/>
        <v>0.84997481108312345</v>
      </c>
      <c r="Q100" s="5">
        <f t="shared" si="10"/>
        <v>0.96491228070175439</v>
      </c>
      <c r="R100" s="5">
        <f t="shared" si="11"/>
        <v>0.72355555555555562</v>
      </c>
    </row>
    <row r="101" spans="1:18" x14ac:dyDescent="0.25">
      <c r="A101" s="3">
        <v>97</v>
      </c>
      <c r="B101" s="4">
        <v>46272</v>
      </c>
      <c r="C101" s="3" t="s">
        <v>28</v>
      </c>
      <c r="D101" s="3" t="s">
        <v>19</v>
      </c>
      <c r="E101" s="3" t="s">
        <v>32</v>
      </c>
      <c r="F101" s="3">
        <v>416</v>
      </c>
      <c r="G101" s="3">
        <v>414</v>
      </c>
      <c r="H101" s="3">
        <v>2</v>
      </c>
      <c r="I101" s="5">
        <f t="shared" si="7"/>
        <v>4.807692307692308E-3</v>
      </c>
      <c r="J101" s="6">
        <f t="shared" si="12"/>
        <v>4807.6923076923076</v>
      </c>
      <c r="K101" s="7">
        <v>0.83</v>
      </c>
      <c r="L101" s="3">
        <v>431</v>
      </c>
      <c r="M101" s="3">
        <v>450</v>
      </c>
      <c r="N101" s="3">
        <v>19</v>
      </c>
      <c r="O101" s="5">
        <f t="shared" si="8"/>
        <v>0.95777777777777773</v>
      </c>
      <c r="P101" s="5">
        <f t="shared" si="9"/>
        <v>0.80111368909512759</v>
      </c>
      <c r="Q101" s="5">
        <f t="shared" si="10"/>
        <v>0.99519230769230771</v>
      </c>
      <c r="R101" s="5">
        <f t="shared" si="11"/>
        <v>0.76359999999999995</v>
      </c>
    </row>
    <row r="102" spans="1:18" x14ac:dyDescent="0.25">
      <c r="A102" s="3">
        <v>98</v>
      </c>
      <c r="B102" s="4">
        <v>46272</v>
      </c>
      <c r="C102" s="3" t="s">
        <v>28</v>
      </c>
      <c r="D102" s="3" t="s">
        <v>21</v>
      </c>
      <c r="E102" s="3" t="s">
        <v>27</v>
      </c>
      <c r="F102" s="3">
        <v>219</v>
      </c>
      <c r="G102" s="3">
        <v>210</v>
      </c>
      <c r="H102" s="3">
        <v>9</v>
      </c>
      <c r="I102" s="5">
        <f t="shared" si="7"/>
        <v>4.1095890410958902E-2</v>
      </c>
      <c r="J102" s="6">
        <f t="shared" si="12"/>
        <v>41095.890410958898</v>
      </c>
      <c r="K102" s="7">
        <v>1.8</v>
      </c>
      <c r="L102" s="3">
        <v>396</v>
      </c>
      <c r="M102" s="3">
        <v>450</v>
      </c>
      <c r="N102" s="3">
        <v>54</v>
      </c>
      <c r="O102" s="5">
        <f t="shared" si="8"/>
        <v>0.88</v>
      </c>
      <c r="P102" s="5">
        <f t="shared" si="9"/>
        <v>0.99545454545454548</v>
      </c>
      <c r="Q102" s="5">
        <f t="shared" si="10"/>
        <v>0.95890410958904104</v>
      </c>
      <c r="R102" s="5">
        <f t="shared" si="11"/>
        <v>0.84</v>
      </c>
    </row>
    <row r="103" spans="1:18" x14ac:dyDescent="0.25">
      <c r="A103" s="3">
        <v>99</v>
      </c>
      <c r="B103" s="4">
        <v>46272</v>
      </c>
      <c r="C103" s="3" t="s">
        <v>28</v>
      </c>
      <c r="D103" s="3" t="s">
        <v>23</v>
      </c>
      <c r="E103" s="3" t="s">
        <v>34</v>
      </c>
      <c r="F103" s="3">
        <v>212</v>
      </c>
      <c r="G103" s="3">
        <v>210</v>
      </c>
      <c r="H103" s="3">
        <v>2</v>
      </c>
      <c r="I103" s="5">
        <f t="shared" si="7"/>
        <v>9.433962264150943E-3</v>
      </c>
      <c r="J103" s="6">
        <f t="shared" si="12"/>
        <v>9433.9622641509432</v>
      </c>
      <c r="K103" s="7">
        <v>1.73</v>
      </c>
      <c r="L103" s="3">
        <v>431</v>
      </c>
      <c r="M103" s="3">
        <v>450</v>
      </c>
      <c r="N103" s="3">
        <v>19</v>
      </c>
      <c r="O103" s="5">
        <f t="shared" si="8"/>
        <v>0.95777777777777773</v>
      </c>
      <c r="P103" s="5">
        <f t="shared" si="9"/>
        <v>0.85095127610208809</v>
      </c>
      <c r="Q103" s="5">
        <f t="shared" si="10"/>
        <v>0.99056603773584906</v>
      </c>
      <c r="R103" s="5">
        <f t="shared" si="11"/>
        <v>0.80733333333333324</v>
      </c>
    </row>
    <row r="104" spans="1:18" x14ac:dyDescent="0.25">
      <c r="A104" s="3">
        <v>100</v>
      </c>
      <c r="B104" s="4">
        <v>46272</v>
      </c>
      <c r="C104" s="3" t="s">
        <v>30</v>
      </c>
      <c r="D104" s="3" t="s">
        <v>19</v>
      </c>
      <c r="E104" s="3" t="s">
        <v>22</v>
      </c>
      <c r="F104" s="3">
        <v>323</v>
      </c>
      <c r="G104" s="3">
        <v>309</v>
      </c>
      <c r="H104" s="3">
        <v>14</v>
      </c>
      <c r="I104" s="5">
        <f t="shared" si="7"/>
        <v>4.3343653250773995E-2</v>
      </c>
      <c r="J104" s="6">
        <f t="shared" si="12"/>
        <v>43343.653250773998</v>
      </c>
      <c r="K104" s="7">
        <v>1.08</v>
      </c>
      <c r="L104" s="3">
        <v>419</v>
      </c>
      <c r="M104" s="3">
        <v>450</v>
      </c>
      <c r="N104" s="3">
        <v>31</v>
      </c>
      <c r="O104" s="5">
        <f t="shared" si="8"/>
        <v>0.93111111111111111</v>
      </c>
      <c r="P104" s="5">
        <f t="shared" si="9"/>
        <v>0.83255369928400957</v>
      </c>
      <c r="Q104" s="5">
        <f t="shared" si="10"/>
        <v>0.95665634674922606</v>
      </c>
      <c r="R104" s="5">
        <f t="shared" si="11"/>
        <v>0.74160000000000004</v>
      </c>
    </row>
    <row r="105" spans="1:18" x14ac:dyDescent="0.25">
      <c r="A105" s="3">
        <v>101</v>
      </c>
      <c r="B105" s="4">
        <v>46272</v>
      </c>
      <c r="C105" s="3" t="s">
        <v>30</v>
      </c>
      <c r="D105" s="3" t="s">
        <v>21</v>
      </c>
      <c r="E105" s="3" t="s">
        <v>27</v>
      </c>
      <c r="F105" s="3">
        <v>970</v>
      </c>
      <c r="G105" s="3">
        <v>959</v>
      </c>
      <c r="H105" s="3">
        <v>11</v>
      </c>
      <c r="I105" s="5">
        <f t="shared" si="7"/>
        <v>1.134020618556701E-2</v>
      </c>
      <c r="J105" s="6">
        <f t="shared" si="12"/>
        <v>11340.206185567009</v>
      </c>
      <c r="K105" s="7">
        <v>0.36</v>
      </c>
      <c r="L105" s="3">
        <v>415</v>
      </c>
      <c r="M105" s="3">
        <v>450</v>
      </c>
      <c r="N105" s="3">
        <v>35</v>
      </c>
      <c r="O105" s="5">
        <f t="shared" si="8"/>
        <v>0.92222222222222228</v>
      </c>
      <c r="P105" s="5">
        <f t="shared" si="9"/>
        <v>0.84144578313253005</v>
      </c>
      <c r="Q105" s="5">
        <f t="shared" si="10"/>
        <v>0.98865979381443303</v>
      </c>
      <c r="R105" s="5">
        <f t="shared" si="11"/>
        <v>0.7672000000000001</v>
      </c>
    </row>
    <row r="106" spans="1:18" x14ac:dyDescent="0.25">
      <c r="A106" s="3">
        <v>102</v>
      </c>
      <c r="B106" s="4">
        <v>46272</v>
      </c>
      <c r="C106" s="3" t="s">
        <v>30</v>
      </c>
      <c r="D106" s="3" t="s">
        <v>23</v>
      </c>
      <c r="E106" s="3" t="s">
        <v>29</v>
      </c>
      <c r="F106" s="3">
        <v>606</v>
      </c>
      <c r="G106" s="3">
        <v>596</v>
      </c>
      <c r="H106" s="3">
        <v>10</v>
      </c>
      <c r="I106" s="5">
        <f t="shared" si="7"/>
        <v>1.65016501650165E-2</v>
      </c>
      <c r="J106" s="6">
        <f t="shared" si="12"/>
        <v>16501.650165016501</v>
      </c>
      <c r="K106" s="7">
        <v>0.68</v>
      </c>
      <c r="L106" s="3">
        <v>437</v>
      </c>
      <c r="M106" s="3">
        <v>450</v>
      </c>
      <c r="N106" s="3">
        <v>13</v>
      </c>
      <c r="O106" s="5">
        <f t="shared" si="8"/>
        <v>0.97111111111111115</v>
      </c>
      <c r="P106" s="5">
        <f t="shared" si="9"/>
        <v>0.94297482837528612</v>
      </c>
      <c r="Q106" s="5">
        <f t="shared" si="10"/>
        <v>0.98349834983498352</v>
      </c>
      <c r="R106" s="5">
        <f t="shared" si="11"/>
        <v>0.90062222222222232</v>
      </c>
    </row>
    <row r="107" spans="1:18" x14ac:dyDescent="0.25">
      <c r="A107" s="3">
        <v>103</v>
      </c>
      <c r="B107" s="4">
        <v>46272</v>
      </c>
      <c r="C107" s="3" t="s">
        <v>33</v>
      </c>
      <c r="D107" s="3" t="s">
        <v>19</v>
      </c>
      <c r="E107" s="3" t="s">
        <v>31</v>
      </c>
      <c r="F107" s="3">
        <v>333</v>
      </c>
      <c r="G107" s="3">
        <v>322</v>
      </c>
      <c r="H107" s="3">
        <v>11</v>
      </c>
      <c r="I107" s="5">
        <f t="shared" si="7"/>
        <v>3.3033033033033031E-2</v>
      </c>
      <c r="J107" s="6">
        <f t="shared" si="12"/>
        <v>33033.033033033033</v>
      </c>
      <c r="K107" s="7">
        <v>1.24</v>
      </c>
      <c r="L107" s="3">
        <v>445</v>
      </c>
      <c r="M107" s="3">
        <v>450</v>
      </c>
      <c r="N107" s="3">
        <v>5</v>
      </c>
      <c r="O107" s="5">
        <f t="shared" si="8"/>
        <v>0.98888888888888893</v>
      </c>
      <c r="P107" s="5">
        <f t="shared" si="9"/>
        <v>0.92791011235955057</v>
      </c>
      <c r="Q107" s="5">
        <f t="shared" si="10"/>
        <v>0.96696696696696693</v>
      </c>
      <c r="R107" s="5">
        <f t="shared" si="11"/>
        <v>0.8872888888888889</v>
      </c>
    </row>
    <row r="108" spans="1:18" x14ac:dyDescent="0.25">
      <c r="A108" s="3">
        <v>104</v>
      </c>
      <c r="B108" s="4">
        <v>46272</v>
      </c>
      <c r="C108" s="3" t="s">
        <v>33</v>
      </c>
      <c r="D108" s="3" t="s">
        <v>21</v>
      </c>
      <c r="E108" s="3" t="s">
        <v>35</v>
      </c>
      <c r="F108" s="3">
        <v>364</v>
      </c>
      <c r="G108" s="3">
        <v>358</v>
      </c>
      <c r="H108" s="3">
        <v>6</v>
      </c>
      <c r="I108" s="5">
        <f t="shared" si="7"/>
        <v>1.6483516483516484E-2</v>
      </c>
      <c r="J108" s="6">
        <f t="shared" si="12"/>
        <v>16483.516483516483</v>
      </c>
      <c r="K108" s="7">
        <v>0.88</v>
      </c>
      <c r="L108" s="3">
        <v>391</v>
      </c>
      <c r="M108" s="3">
        <v>450</v>
      </c>
      <c r="N108" s="3">
        <v>59</v>
      </c>
      <c r="O108" s="5">
        <f t="shared" si="8"/>
        <v>0.86888888888888893</v>
      </c>
      <c r="P108" s="5">
        <f t="shared" si="9"/>
        <v>0.81923273657288997</v>
      </c>
      <c r="Q108" s="5">
        <f t="shared" si="10"/>
        <v>0.98351648351648346</v>
      </c>
      <c r="R108" s="5">
        <f t="shared" si="11"/>
        <v>0.70008888888888887</v>
      </c>
    </row>
    <row r="109" spans="1:18" x14ac:dyDescent="0.25">
      <c r="A109" s="3">
        <v>105</v>
      </c>
      <c r="B109" s="4">
        <v>46272</v>
      </c>
      <c r="C109" s="3" t="s">
        <v>33</v>
      </c>
      <c r="D109" s="3" t="s">
        <v>23</v>
      </c>
      <c r="E109" s="3" t="s">
        <v>20</v>
      </c>
      <c r="F109" s="3">
        <v>201</v>
      </c>
      <c r="G109" s="3">
        <v>197</v>
      </c>
      <c r="H109" s="3">
        <v>4</v>
      </c>
      <c r="I109" s="5">
        <f t="shared" si="7"/>
        <v>1.9900497512437811E-2</v>
      </c>
      <c r="J109" s="6">
        <f t="shared" si="12"/>
        <v>19900.497512437811</v>
      </c>
      <c r="K109" s="7">
        <v>1.75</v>
      </c>
      <c r="L109" s="3">
        <v>415</v>
      </c>
      <c r="M109" s="3">
        <v>450</v>
      </c>
      <c r="N109" s="3">
        <v>35</v>
      </c>
      <c r="O109" s="5">
        <f t="shared" si="8"/>
        <v>0.92222222222222228</v>
      </c>
      <c r="P109" s="5">
        <f t="shared" si="9"/>
        <v>0.84759036144578315</v>
      </c>
      <c r="Q109" s="5">
        <f t="shared" si="10"/>
        <v>0.98009950248756217</v>
      </c>
      <c r="R109" s="5">
        <f t="shared" si="11"/>
        <v>0.76611111111111119</v>
      </c>
    </row>
    <row r="110" spans="1:18" x14ac:dyDescent="0.25">
      <c r="A110" s="3">
        <v>106</v>
      </c>
      <c r="B110" s="4">
        <v>46273</v>
      </c>
      <c r="C110" s="3" t="s">
        <v>18</v>
      </c>
      <c r="D110" s="3" t="s">
        <v>19</v>
      </c>
      <c r="E110" s="3" t="s">
        <v>34</v>
      </c>
      <c r="F110" s="3">
        <v>247</v>
      </c>
      <c r="G110" s="3">
        <v>240</v>
      </c>
      <c r="H110" s="3">
        <v>7</v>
      </c>
      <c r="I110" s="5">
        <f t="shared" si="7"/>
        <v>2.8340080971659919E-2</v>
      </c>
      <c r="J110" s="6">
        <f t="shared" si="12"/>
        <v>28340.080971659918</v>
      </c>
      <c r="K110" s="7">
        <v>1.56</v>
      </c>
      <c r="L110" s="3">
        <v>408</v>
      </c>
      <c r="M110" s="3">
        <v>450</v>
      </c>
      <c r="N110" s="3">
        <v>42</v>
      </c>
      <c r="O110" s="5">
        <f t="shared" si="8"/>
        <v>0.90666666666666662</v>
      </c>
      <c r="P110" s="5">
        <f t="shared" si="9"/>
        <v>0.94441176470588228</v>
      </c>
      <c r="Q110" s="5">
        <f t="shared" si="10"/>
        <v>0.97165991902834004</v>
      </c>
      <c r="R110" s="5">
        <f t="shared" si="11"/>
        <v>0.83199999999999985</v>
      </c>
    </row>
    <row r="111" spans="1:18" x14ac:dyDescent="0.25">
      <c r="A111" s="3">
        <v>107</v>
      </c>
      <c r="B111" s="4">
        <v>46273</v>
      </c>
      <c r="C111" s="3" t="s">
        <v>18</v>
      </c>
      <c r="D111" s="3" t="s">
        <v>21</v>
      </c>
      <c r="E111" s="3" t="s">
        <v>20</v>
      </c>
      <c r="F111" s="3">
        <v>249</v>
      </c>
      <c r="G111" s="3">
        <v>246</v>
      </c>
      <c r="H111" s="3">
        <v>3</v>
      </c>
      <c r="I111" s="5">
        <f t="shared" si="7"/>
        <v>1.2048192771084338E-2</v>
      </c>
      <c r="J111" s="6">
        <f t="shared" si="12"/>
        <v>12048.192771084337</v>
      </c>
      <c r="K111" s="7">
        <v>1.63</v>
      </c>
      <c r="L111" s="3">
        <v>433</v>
      </c>
      <c r="M111" s="3">
        <v>450</v>
      </c>
      <c r="N111" s="3">
        <v>17</v>
      </c>
      <c r="O111" s="5">
        <f t="shared" si="8"/>
        <v>0.9622222222222222</v>
      </c>
      <c r="P111" s="5">
        <f t="shared" si="9"/>
        <v>0.93734411085450331</v>
      </c>
      <c r="Q111" s="5">
        <f t="shared" si="10"/>
        <v>0.98795180722891562</v>
      </c>
      <c r="R111" s="5">
        <f t="shared" si="11"/>
        <v>0.89106666666666645</v>
      </c>
    </row>
    <row r="112" spans="1:18" x14ac:dyDescent="0.25">
      <c r="A112" s="3">
        <v>108</v>
      </c>
      <c r="B112" s="4">
        <v>46273</v>
      </c>
      <c r="C112" s="3" t="s">
        <v>18</v>
      </c>
      <c r="D112" s="3" t="s">
        <v>23</v>
      </c>
      <c r="E112" s="3" t="s">
        <v>29</v>
      </c>
      <c r="F112" s="3">
        <v>825</v>
      </c>
      <c r="G112" s="3">
        <v>802</v>
      </c>
      <c r="H112" s="3">
        <v>23</v>
      </c>
      <c r="I112" s="5">
        <f t="shared" si="7"/>
        <v>2.7878787878787878E-2</v>
      </c>
      <c r="J112" s="6">
        <f t="shared" si="12"/>
        <v>27878.787878787876</v>
      </c>
      <c r="K112" s="7">
        <v>0.5</v>
      </c>
      <c r="L112" s="3">
        <v>404</v>
      </c>
      <c r="M112" s="3">
        <v>450</v>
      </c>
      <c r="N112" s="3">
        <v>46</v>
      </c>
      <c r="O112" s="5">
        <f t="shared" si="8"/>
        <v>0.89777777777777779</v>
      </c>
      <c r="P112" s="5">
        <f t="shared" si="9"/>
        <v>1.0210396039603959</v>
      </c>
      <c r="Q112" s="5">
        <f t="shared" si="10"/>
        <v>0.97212121212121216</v>
      </c>
      <c r="R112" s="5">
        <f t="shared" si="11"/>
        <v>0.89111111111111108</v>
      </c>
    </row>
    <row r="113" spans="1:18" x14ac:dyDescent="0.25">
      <c r="A113" s="3">
        <v>109</v>
      </c>
      <c r="B113" s="4">
        <v>46273</v>
      </c>
      <c r="C113" s="3" t="s">
        <v>25</v>
      </c>
      <c r="D113" s="3" t="s">
        <v>19</v>
      </c>
      <c r="E113" s="3" t="s">
        <v>34</v>
      </c>
      <c r="F113" s="3">
        <v>349</v>
      </c>
      <c r="G113" s="3">
        <v>336</v>
      </c>
      <c r="H113" s="3">
        <v>13</v>
      </c>
      <c r="I113" s="5">
        <f t="shared" si="7"/>
        <v>3.7249283667621778E-2</v>
      </c>
      <c r="J113" s="6">
        <f t="shared" si="12"/>
        <v>37249.283667621778</v>
      </c>
      <c r="K113" s="7">
        <v>0.95</v>
      </c>
      <c r="L113" s="3">
        <v>417</v>
      </c>
      <c r="M113" s="3">
        <v>450</v>
      </c>
      <c r="N113" s="3">
        <v>33</v>
      </c>
      <c r="O113" s="5">
        <f t="shared" si="8"/>
        <v>0.92666666666666664</v>
      </c>
      <c r="P113" s="5">
        <f t="shared" si="9"/>
        <v>0.79508393285371703</v>
      </c>
      <c r="Q113" s="5">
        <f t="shared" si="10"/>
        <v>0.96275071633237819</v>
      </c>
      <c r="R113" s="5">
        <f t="shared" si="11"/>
        <v>0.70933333333333326</v>
      </c>
    </row>
    <row r="114" spans="1:18" x14ac:dyDescent="0.25">
      <c r="A114" s="3">
        <v>110</v>
      </c>
      <c r="B114" s="4">
        <v>46273</v>
      </c>
      <c r="C114" s="3" t="s">
        <v>25</v>
      </c>
      <c r="D114" s="3" t="s">
        <v>21</v>
      </c>
      <c r="E114" s="3" t="s">
        <v>22</v>
      </c>
      <c r="F114" s="3">
        <v>609</v>
      </c>
      <c r="G114" s="3">
        <v>594</v>
      </c>
      <c r="H114" s="3">
        <v>15</v>
      </c>
      <c r="I114" s="5">
        <f t="shared" si="7"/>
        <v>2.4630541871921183E-2</v>
      </c>
      <c r="J114" s="6">
        <f t="shared" si="12"/>
        <v>24630.541871921185</v>
      </c>
      <c r="K114" s="7">
        <v>0.66</v>
      </c>
      <c r="L114" s="3">
        <v>410</v>
      </c>
      <c r="M114" s="3">
        <v>450</v>
      </c>
      <c r="N114" s="3">
        <v>40</v>
      </c>
      <c r="O114" s="5">
        <f t="shared" si="8"/>
        <v>0.91111111111111109</v>
      </c>
      <c r="P114" s="5">
        <f t="shared" si="9"/>
        <v>0.98034146341463413</v>
      </c>
      <c r="Q114" s="5">
        <f t="shared" si="10"/>
        <v>0.97536945812807885</v>
      </c>
      <c r="R114" s="5">
        <f t="shared" si="11"/>
        <v>0.87119999999999997</v>
      </c>
    </row>
    <row r="115" spans="1:18" x14ac:dyDescent="0.25">
      <c r="A115" s="3">
        <v>111</v>
      </c>
      <c r="B115" s="4">
        <v>46273</v>
      </c>
      <c r="C115" s="3" t="s">
        <v>25</v>
      </c>
      <c r="D115" s="3" t="s">
        <v>23</v>
      </c>
      <c r="E115" s="3" t="s">
        <v>27</v>
      </c>
      <c r="F115" s="3">
        <v>527</v>
      </c>
      <c r="G115" s="3">
        <v>522</v>
      </c>
      <c r="H115" s="3">
        <v>5</v>
      </c>
      <c r="I115" s="5">
        <f t="shared" si="7"/>
        <v>9.4876660341555973E-3</v>
      </c>
      <c r="J115" s="6">
        <f t="shared" si="12"/>
        <v>9487.666034155598</v>
      </c>
      <c r="K115" s="7">
        <v>0.75</v>
      </c>
      <c r="L115" s="3">
        <v>402</v>
      </c>
      <c r="M115" s="3">
        <v>450</v>
      </c>
      <c r="N115" s="3">
        <v>48</v>
      </c>
      <c r="O115" s="5">
        <f t="shared" si="8"/>
        <v>0.89333333333333331</v>
      </c>
      <c r="P115" s="5">
        <f t="shared" si="9"/>
        <v>0.98320895522388063</v>
      </c>
      <c r="Q115" s="5">
        <f t="shared" si="10"/>
        <v>0.99051233396584437</v>
      </c>
      <c r="R115" s="5">
        <f t="shared" si="11"/>
        <v>0.86999999999999988</v>
      </c>
    </row>
    <row r="116" spans="1:18" x14ac:dyDescent="0.25">
      <c r="A116" s="3">
        <v>112</v>
      </c>
      <c r="B116" s="4">
        <v>46273</v>
      </c>
      <c r="C116" s="3" t="s">
        <v>28</v>
      </c>
      <c r="D116" s="3" t="s">
        <v>19</v>
      </c>
      <c r="E116" s="3" t="s">
        <v>32</v>
      </c>
      <c r="F116" s="3">
        <v>1000</v>
      </c>
      <c r="G116" s="3">
        <v>982</v>
      </c>
      <c r="H116" s="3">
        <v>18</v>
      </c>
      <c r="I116" s="5">
        <f t="shared" si="7"/>
        <v>1.7999999999999999E-2</v>
      </c>
      <c r="J116" s="6">
        <f t="shared" si="12"/>
        <v>18000</v>
      </c>
      <c r="K116" s="7">
        <v>0.43</v>
      </c>
      <c r="L116" s="3">
        <v>444</v>
      </c>
      <c r="M116" s="3">
        <v>450</v>
      </c>
      <c r="N116" s="3">
        <v>6</v>
      </c>
      <c r="O116" s="5">
        <f t="shared" si="8"/>
        <v>0.98666666666666669</v>
      </c>
      <c r="P116" s="5">
        <f t="shared" si="9"/>
        <v>0.96846846846846846</v>
      </c>
      <c r="Q116" s="5">
        <f t="shared" si="10"/>
        <v>0.98199999999999998</v>
      </c>
      <c r="R116" s="5">
        <f t="shared" si="11"/>
        <v>0.93835555555555561</v>
      </c>
    </row>
    <row r="117" spans="1:18" x14ac:dyDescent="0.25">
      <c r="A117" s="3">
        <v>113</v>
      </c>
      <c r="B117" s="4">
        <v>46273</v>
      </c>
      <c r="C117" s="3" t="s">
        <v>28</v>
      </c>
      <c r="D117" s="3" t="s">
        <v>21</v>
      </c>
      <c r="E117" s="3" t="s">
        <v>27</v>
      </c>
      <c r="F117" s="3">
        <v>468</v>
      </c>
      <c r="G117" s="3">
        <v>461</v>
      </c>
      <c r="H117" s="3">
        <v>7</v>
      </c>
      <c r="I117" s="5">
        <f t="shared" si="7"/>
        <v>1.4957264957264958E-2</v>
      </c>
      <c r="J117" s="6">
        <f t="shared" si="12"/>
        <v>14957.264957264957</v>
      </c>
      <c r="K117" s="7">
        <v>0.91</v>
      </c>
      <c r="L117" s="3">
        <v>429</v>
      </c>
      <c r="M117" s="3">
        <v>450</v>
      </c>
      <c r="N117" s="3">
        <v>21</v>
      </c>
      <c r="O117" s="5">
        <f t="shared" si="8"/>
        <v>0.95333333333333337</v>
      </c>
      <c r="P117" s="5">
        <f t="shared" si="9"/>
        <v>0.99272727272727268</v>
      </c>
      <c r="Q117" s="5">
        <f t="shared" si="10"/>
        <v>0.9850427350427351</v>
      </c>
      <c r="R117" s="5">
        <f t="shared" si="11"/>
        <v>0.93224444444444454</v>
      </c>
    </row>
    <row r="118" spans="1:18" x14ac:dyDescent="0.25">
      <c r="A118" s="3">
        <v>114</v>
      </c>
      <c r="B118" s="4">
        <v>46273</v>
      </c>
      <c r="C118" s="3" t="s">
        <v>28</v>
      </c>
      <c r="D118" s="3" t="s">
        <v>23</v>
      </c>
      <c r="E118" s="3" t="s">
        <v>20</v>
      </c>
      <c r="F118" s="3">
        <v>567</v>
      </c>
      <c r="G118" s="3">
        <v>560</v>
      </c>
      <c r="H118" s="3">
        <v>7</v>
      </c>
      <c r="I118" s="5">
        <f t="shared" si="7"/>
        <v>1.2345679012345678E-2</v>
      </c>
      <c r="J118" s="6">
        <f t="shared" si="12"/>
        <v>12345.679012345678</v>
      </c>
      <c r="K118" s="7">
        <v>0.65</v>
      </c>
      <c r="L118" s="3">
        <v>430</v>
      </c>
      <c r="M118" s="3">
        <v>450</v>
      </c>
      <c r="N118" s="3">
        <v>20</v>
      </c>
      <c r="O118" s="5">
        <f t="shared" si="8"/>
        <v>0.9555555555555556</v>
      </c>
      <c r="P118" s="5">
        <f t="shared" si="9"/>
        <v>0.85709302325581394</v>
      </c>
      <c r="Q118" s="5">
        <f t="shared" si="10"/>
        <v>0.98765432098765427</v>
      </c>
      <c r="R118" s="5">
        <f t="shared" si="11"/>
        <v>0.80888888888888888</v>
      </c>
    </row>
    <row r="119" spans="1:18" x14ac:dyDescent="0.25">
      <c r="A119" s="3">
        <v>115</v>
      </c>
      <c r="B119" s="4">
        <v>46273</v>
      </c>
      <c r="C119" s="3" t="s">
        <v>30</v>
      </c>
      <c r="D119" s="3" t="s">
        <v>19</v>
      </c>
      <c r="E119" s="3" t="s">
        <v>34</v>
      </c>
      <c r="F119" s="3">
        <v>396</v>
      </c>
      <c r="G119" s="3">
        <v>388</v>
      </c>
      <c r="H119" s="3">
        <v>8</v>
      </c>
      <c r="I119" s="5">
        <f t="shared" si="7"/>
        <v>2.0202020202020204E-2</v>
      </c>
      <c r="J119" s="6">
        <f t="shared" si="12"/>
        <v>20202.020202020205</v>
      </c>
      <c r="K119" s="7">
        <v>0.81</v>
      </c>
      <c r="L119" s="3">
        <v>392</v>
      </c>
      <c r="M119" s="3">
        <v>450</v>
      </c>
      <c r="N119" s="3">
        <v>58</v>
      </c>
      <c r="O119" s="5">
        <f t="shared" si="8"/>
        <v>0.87111111111111106</v>
      </c>
      <c r="P119" s="5">
        <f t="shared" si="9"/>
        <v>0.81826530612244908</v>
      </c>
      <c r="Q119" s="5">
        <f t="shared" si="10"/>
        <v>0.97979797979797978</v>
      </c>
      <c r="R119" s="5">
        <f t="shared" si="11"/>
        <v>0.69840000000000002</v>
      </c>
    </row>
    <row r="120" spans="1:18" x14ac:dyDescent="0.25">
      <c r="A120" s="3">
        <v>116</v>
      </c>
      <c r="B120" s="4">
        <v>46273</v>
      </c>
      <c r="C120" s="3" t="s">
        <v>30</v>
      </c>
      <c r="D120" s="3" t="s">
        <v>21</v>
      </c>
      <c r="E120" s="3" t="s">
        <v>24</v>
      </c>
      <c r="F120" s="3">
        <v>214</v>
      </c>
      <c r="G120" s="3">
        <v>211</v>
      </c>
      <c r="H120" s="3">
        <v>3</v>
      </c>
      <c r="I120" s="5">
        <f t="shared" si="7"/>
        <v>1.4018691588785047E-2</v>
      </c>
      <c r="J120" s="6">
        <f t="shared" si="12"/>
        <v>14018.691588785046</v>
      </c>
      <c r="K120" s="7">
        <v>1.63</v>
      </c>
      <c r="L120" s="3">
        <v>440</v>
      </c>
      <c r="M120" s="3">
        <v>450</v>
      </c>
      <c r="N120" s="3">
        <v>10</v>
      </c>
      <c r="O120" s="5">
        <f t="shared" si="8"/>
        <v>0.97777777777777775</v>
      </c>
      <c r="P120" s="5">
        <f t="shared" si="9"/>
        <v>0.7927727272727273</v>
      </c>
      <c r="Q120" s="5">
        <f t="shared" si="10"/>
        <v>0.98598130841121501</v>
      </c>
      <c r="R120" s="5">
        <f t="shared" si="11"/>
        <v>0.76428888888888902</v>
      </c>
    </row>
    <row r="121" spans="1:18" x14ac:dyDescent="0.25">
      <c r="A121" s="3">
        <v>117</v>
      </c>
      <c r="B121" s="4">
        <v>46273</v>
      </c>
      <c r="C121" s="3" t="s">
        <v>30</v>
      </c>
      <c r="D121" s="3" t="s">
        <v>23</v>
      </c>
      <c r="E121" s="3" t="s">
        <v>35</v>
      </c>
      <c r="F121" s="3">
        <v>236</v>
      </c>
      <c r="G121" s="3">
        <v>233</v>
      </c>
      <c r="H121" s="3">
        <v>3</v>
      </c>
      <c r="I121" s="5">
        <f t="shared" si="7"/>
        <v>1.2711864406779662E-2</v>
      </c>
      <c r="J121" s="6">
        <f t="shared" si="12"/>
        <v>12711.864406779661</v>
      </c>
      <c r="K121" s="7">
        <v>1.67</v>
      </c>
      <c r="L121" s="3">
        <v>416</v>
      </c>
      <c r="M121" s="3">
        <v>450</v>
      </c>
      <c r="N121" s="3">
        <v>34</v>
      </c>
      <c r="O121" s="5">
        <f t="shared" si="8"/>
        <v>0.9244444444444444</v>
      </c>
      <c r="P121" s="5">
        <f t="shared" si="9"/>
        <v>0.94740384615384621</v>
      </c>
      <c r="Q121" s="5">
        <f t="shared" si="10"/>
        <v>0.98728813559322037</v>
      </c>
      <c r="R121" s="5">
        <f t="shared" si="11"/>
        <v>0.86468888888888895</v>
      </c>
    </row>
    <row r="122" spans="1:18" x14ac:dyDescent="0.25">
      <c r="A122" s="3">
        <v>118</v>
      </c>
      <c r="B122" s="4">
        <v>46273</v>
      </c>
      <c r="C122" s="3" t="s">
        <v>33</v>
      </c>
      <c r="D122" s="3" t="s">
        <v>19</v>
      </c>
      <c r="E122" s="3" t="s">
        <v>31</v>
      </c>
      <c r="F122" s="3">
        <v>339</v>
      </c>
      <c r="G122" s="3">
        <v>336</v>
      </c>
      <c r="H122" s="3">
        <v>3</v>
      </c>
      <c r="I122" s="5">
        <f t="shared" si="7"/>
        <v>8.8495575221238937E-3</v>
      </c>
      <c r="J122" s="6">
        <f t="shared" si="12"/>
        <v>8849.5575221238942</v>
      </c>
      <c r="K122" s="7">
        <v>0.96</v>
      </c>
      <c r="L122" s="3">
        <v>391</v>
      </c>
      <c r="M122" s="3">
        <v>450</v>
      </c>
      <c r="N122" s="3">
        <v>59</v>
      </c>
      <c r="O122" s="5">
        <f t="shared" si="8"/>
        <v>0.86888888888888893</v>
      </c>
      <c r="P122" s="5">
        <f t="shared" si="9"/>
        <v>0.8323273657289002</v>
      </c>
      <c r="Q122" s="5">
        <f t="shared" si="10"/>
        <v>0.99115044247787609</v>
      </c>
      <c r="R122" s="5">
        <f t="shared" si="11"/>
        <v>0.71679999999999999</v>
      </c>
    </row>
    <row r="123" spans="1:18" x14ac:dyDescent="0.25">
      <c r="A123" s="3">
        <v>119</v>
      </c>
      <c r="B123" s="4">
        <v>46273</v>
      </c>
      <c r="C123" s="3" t="s">
        <v>33</v>
      </c>
      <c r="D123" s="3" t="s">
        <v>21</v>
      </c>
      <c r="E123" s="3" t="s">
        <v>32</v>
      </c>
      <c r="F123" s="3">
        <v>424</v>
      </c>
      <c r="G123" s="3">
        <v>412</v>
      </c>
      <c r="H123" s="3">
        <v>12</v>
      </c>
      <c r="I123" s="5">
        <f t="shared" si="7"/>
        <v>2.8301886792452831E-2</v>
      </c>
      <c r="J123" s="6">
        <f t="shared" si="12"/>
        <v>28301.886792452831</v>
      </c>
      <c r="K123" s="7">
        <v>0.9</v>
      </c>
      <c r="L123" s="3">
        <v>439</v>
      </c>
      <c r="M123" s="3">
        <v>450</v>
      </c>
      <c r="N123" s="3">
        <v>11</v>
      </c>
      <c r="O123" s="5">
        <f t="shared" si="8"/>
        <v>0.97555555555555551</v>
      </c>
      <c r="P123" s="5">
        <f t="shared" si="9"/>
        <v>0.86924829157175398</v>
      </c>
      <c r="Q123" s="5">
        <f t="shared" si="10"/>
        <v>0.97169811320754718</v>
      </c>
      <c r="R123" s="5">
        <f t="shared" si="11"/>
        <v>0.82399999999999995</v>
      </c>
    </row>
    <row r="124" spans="1:18" x14ac:dyDescent="0.25">
      <c r="A124" s="3">
        <v>120</v>
      </c>
      <c r="B124" s="4">
        <v>46273</v>
      </c>
      <c r="C124" s="3" t="s">
        <v>33</v>
      </c>
      <c r="D124" s="3" t="s">
        <v>23</v>
      </c>
      <c r="E124" s="3" t="s">
        <v>20</v>
      </c>
      <c r="F124" s="3">
        <v>455</v>
      </c>
      <c r="G124" s="3">
        <v>439</v>
      </c>
      <c r="H124" s="3">
        <v>16</v>
      </c>
      <c r="I124" s="5">
        <f t="shared" si="7"/>
        <v>3.5164835164835165E-2</v>
      </c>
      <c r="J124" s="6">
        <f t="shared" si="12"/>
        <v>35164.835164835167</v>
      </c>
      <c r="K124" s="7">
        <v>0.78</v>
      </c>
      <c r="L124" s="3">
        <v>410</v>
      </c>
      <c r="M124" s="3">
        <v>450</v>
      </c>
      <c r="N124" s="3">
        <v>40</v>
      </c>
      <c r="O124" s="5">
        <f t="shared" si="8"/>
        <v>0.91111111111111109</v>
      </c>
      <c r="P124" s="5">
        <f t="shared" si="9"/>
        <v>0.86560975609756108</v>
      </c>
      <c r="Q124" s="5">
        <f t="shared" si="10"/>
        <v>0.96483516483516485</v>
      </c>
      <c r="R124" s="5">
        <f t="shared" si="11"/>
        <v>0.76093333333333346</v>
      </c>
    </row>
    <row r="125" spans="1:18" x14ac:dyDescent="0.25">
      <c r="A125" s="3">
        <v>121</v>
      </c>
      <c r="B125" s="4">
        <v>46274</v>
      </c>
      <c r="C125" s="3" t="s">
        <v>18</v>
      </c>
      <c r="D125" s="3" t="s">
        <v>19</v>
      </c>
      <c r="E125" s="3" t="s">
        <v>35</v>
      </c>
      <c r="F125" s="3">
        <v>240</v>
      </c>
      <c r="G125" s="3">
        <v>236</v>
      </c>
      <c r="H125" s="3">
        <v>4</v>
      </c>
      <c r="I125" s="5">
        <f t="shared" si="7"/>
        <v>1.6666666666666666E-2</v>
      </c>
      <c r="J125" s="6">
        <f t="shared" si="12"/>
        <v>16666.666666666668</v>
      </c>
      <c r="K125" s="7">
        <v>1.62</v>
      </c>
      <c r="L125" s="3">
        <v>423</v>
      </c>
      <c r="M125" s="3">
        <v>450</v>
      </c>
      <c r="N125" s="3">
        <v>27</v>
      </c>
      <c r="O125" s="5">
        <f t="shared" si="8"/>
        <v>0.94</v>
      </c>
      <c r="P125" s="5">
        <f t="shared" si="9"/>
        <v>0.91914893617021276</v>
      </c>
      <c r="Q125" s="5">
        <f t="shared" si="10"/>
        <v>0.98333333333333328</v>
      </c>
      <c r="R125" s="5">
        <f t="shared" si="11"/>
        <v>0.84959999999999991</v>
      </c>
    </row>
    <row r="126" spans="1:18" x14ac:dyDescent="0.25">
      <c r="A126" s="3">
        <v>122</v>
      </c>
      <c r="B126" s="4">
        <v>46274</v>
      </c>
      <c r="C126" s="3" t="s">
        <v>18</v>
      </c>
      <c r="D126" s="3" t="s">
        <v>21</v>
      </c>
      <c r="E126" s="3" t="s">
        <v>29</v>
      </c>
      <c r="F126" s="3">
        <v>955</v>
      </c>
      <c r="G126" s="3">
        <v>945</v>
      </c>
      <c r="H126" s="3">
        <v>10</v>
      </c>
      <c r="I126" s="5">
        <f t="shared" si="7"/>
        <v>1.0471204188481676E-2</v>
      </c>
      <c r="J126" s="6">
        <f t="shared" si="12"/>
        <v>10471.204188481675</v>
      </c>
      <c r="K126" s="7">
        <v>0.43</v>
      </c>
      <c r="L126" s="3">
        <v>426</v>
      </c>
      <c r="M126" s="3">
        <v>450</v>
      </c>
      <c r="N126" s="3">
        <v>24</v>
      </c>
      <c r="O126" s="5">
        <f t="shared" si="8"/>
        <v>0.94666666666666666</v>
      </c>
      <c r="P126" s="5">
        <f t="shared" si="9"/>
        <v>0.96396713615023466</v>
      </c>
      <c r="Q126" s="5">
        <f t="shared" si="10"/>
        <v>0.98952879581151831</v>
      </c>
      <c r="R126" s="5">
        <f t="shared" si="11"/>
        <v>0.90299999999999991</v>
      </c>
    </row>
    <row r="127" spans="1:18" x14ac:dyDescent="0.25">
      <c r="A127" s="3">
        <v>123</v>
      </c>
      <c r="B127" s="4">
        <v>46274</v>
      </c>
      <c r="C127" s="3" t="s">
        <v>18</v>
      </c>
      <c r="D127" s="3" t="s">
        <v>23</v>
      </c>
      <c r="E127" s="3" t="s">
        <v>32</v>
      </c>
      <c r="F127" s="3">
        <v>341</v>
      </c>
      <c r="G127" s="3">
        <v>339</v>
      </c>
      <c r="H127" s="3">
        <v>2</v>
      </c>
      <c r="I127" s="5">
        <f t="shared" si="7"/>
        <v>5.8651026392961877E-3</v>
      </c>
      <c r="J127" s="6">
        <f t="shared" si="12"/>
        <v>5865.1026392961876</v>
      </c>
      <c r="K127" s="7">
        <v>0.97</v>
      </c>
      <c r="L127" s="3">
        <v>401</v>
      </c>
      <c r="M127" s="3">
        <v>450</v>
      </c>
      <c r="N127" s="3">
        <v>49</v>
      </c>
      <c r="O127" s="5">
        <f t="shared" si="8"/>
        <v>0.89111111111111108</v>
      </c>
      <c r="P127" s="5">
        <f t="shared" si="9"/>
        <v>0.82486284289276801</v>
      </c>
      <c r="Q127" s="5">
        <f t="shared" si="10"/>
        <v>0.99413489736070382</v>
      </c>
      <c r="R127" s="5">
        <f t="shared" si="11"/>
        <v>0.73073333333333323</v>
      </c>
    </row>
    <row r="128" spans="1:18" x14ac:dyDescent="0.25">
      <c r="A128" s="3">
        <v>124</v>
      </c>
      <c r="B128" s="4">
        <v>46274</v>
      </c>
      <c r="C128" s="3" t="s">
        <v>25</v>
      </c>
      <c r="D128" s="3" t="s">
        <v>19</v>
      </c>
      <c r="E128" s="3" t="s">
        <v>35</v>
      </c>
      <c r="F128" s="3">
        <v>498</v>
      </c>
      <c r="G128" s="3">
        <v>484</v>
      </c>
      <c r="H128" s="3">
        <v>14</v>
      </c>
      <c r="I128" s="5">
        <f t="shared" si="7"/>
        <v>2.8112449799196786E-2</v>
      </c>
      <c r="J128" s="6">
        <f t="shared" si="12"/>
        <v>28112.449799196787</v>
      </c>
      <c r="K128" s="7">
        <v>0.85</v>
      </c>
      <c r="L128" s="3">
        <v>416</v>
      </c>
      <c r="M128" s="3">
        <v>450</v>
      </c>
      <c r="N128" s="3">
        <v>34</v>
      </c>
      <c r="O128" s="5">
        <f t="shared" si="8"/>
        <v>0.9244444444444444</v>
      </c>
      <c r="P128" s="5">
        <f t="shared" si="9"/>
        <v>1.0175480769230769</v>
      </c>
      <c r="Q128" s="5">
        <f t="shared" si="10"/>
        <v>0.9718875502008032</v>
      </c>
      <c r="R128" s="5">
        <f t="shared" si="11"/>
        <v>0.91422222222222216</v>
      </c>
    </row>
    <row r="129" spans="1:18" x14ac:dyDescent="0.25">
      <c r="A129" s="3">
        <v>125</v>
      </c>
      <c r="B129" s="4">
        <v>46274</v>
      </c>
      <c r="C129" s="3" t="s">
        <v>25</v>
      </c>
      <c r="D129" s="3" t="s">
        <v>21</v>
      </c>
      <c r="E129" s="3" t="s">
        <v>34</v>
      </c>
      <c r="F129" s="3">
        <v>417</v>
      </c>
      <c r="G129" s="3">
        <v>414</v>
      </c>
      <c r="H129" s="3">
        <v>3</v>
      </c>
      <c r="I129" s="5">
        <f t="shared" si="7"/>
        <v>7.1942446043165471E-3</v>
      </c>
      <c r="J129" s="6">
        <f t="shared" si="12"/>
        <v>7194.2446043165473</v>
      </c>
      <c r="K129" s="7">
        <v>0.9</v>
      </c>
      <c r="L129" s="3">
        <v>404</v>
      </c>
      <c r="M129" s="3">
        <v>450</v>
      </c>
      <c r="N129" s="3">
        <v>46</v>
      </c>
      <c r="O129" s="5">
        <f t="shared" si="8"/>
        <v>0.89777777777777779</v>
      </c>
      <c r="P129" s="5">
        <f t="shared" si="9"/>
        <v>0.92896039603960401</v>
      </c>
      <c r="Q129" s="5">
        <f t="shared" si="10"/>
        <v>0.9928057553956835</v>
      </c>
      <c r="R129" s="5">
        <f t="shared" si="11"/>
        <v>0.82800000000000007</v>
      </c>
    </row>
    <row r="130" spans="1:18" x14ac:dyDescent="0.25">
      <c r="A130" s="3">
        <v>126</v>
      </c>
      <c r="B130" s="4">
        <v>46274</v>
      </c>
      <c r="C130" s="3" t="s">
        <v>25</v>
      </c>
      <c r="D130" s="3" t="s">
        <v>23</v>
      </c>
      <c r="E130" s="3" t="s">
        <v>29</v>
      </c>
      <c r="F130" s="3">
        <v>376</v>
      </c>
      <c r="G130" s="3">
        <v>368</v>
      </c>
      <c r="H130" s="3">
        <v>8</v>
      </c>
      <c r="I130" s="5">
        <f t="shared" si="7"/>
        <v>2.1276595744680851E-2</v>
      </c>
      <c r="J130" s="6">
        <f t="shared" si="12"/>
        <v>21276.59574468085</v>
      </c>
      <c r="K130" s="7">
        <v>1.1399999999999999</v>
      </c>
      <c r="L130" s="3">
        <v>443</v>
      </c>
      <c r="M130" s="3">
        <v>450</v>
      </c>
      <c r="N130" s="3">
        <v>7</v>
      </c>
      <c r="O130" s="5">
        <f t="shared" si="8"/>
        <v>0.98444444444444446</v>
      </c>
      <c r="P130" s="5">
        <f t="shared" si="9"/>
        <v>0.96758465011286676</v>
      </c>
      <c r="Q130" s="5">
        <f t="shared" si="10"/>
        <v>0.97872340425531912</v>
      </c>
      <c r="R130" s="5">
        <f t="shared" si="11"/>
        <v>0.93226666666666669</v>
      </c>
    </row>
    <row r="131" spans="1:18" x14ac:dyDescent="0.25">
      <c r="A131" s="3">
        <v>127</v>
      </c>
      <c r="B131" s="4">
        <v>46274</v>
      </c>
      <c r="C131" s="3" t="s">
        <v>28</v>
      </c>
      <c r="D131" s="3" t="s">
        <v>19</v>
      </c>
      <c r="E131" s="3" t="s">
        <v>22</v>
      </c>
      <c r="F131" s="3">
        <v>412</v>
      </c>
      <c r="G131" s="3">
        <v>403</v>
      </c>
      <c r="H131" s="3">
        <v>9</v>
      </c>
      <c r="I131" s="5">
        <f t="shared" si="7"/>
        <v>2.1844660194174758E-2</v>
      </c>
      <c r="J131" s="6">
        <f t="shared" si="12"/>
        <v>21844.660194174758</v>
      </c>
      <c r="K131" s="7">
        <v>0.78</v>
      </c>
      <c r="L131" s="3">
        <v>409</v>
      </c>
      <c r="M131" s="3">
        <v>450</v>
      </c>
      <c r="N131" s="3">
        <v>41</v>
      </c>
      <c r="O131" s="5">
        <f t="shared" si="8"/>
        <v>0.90888888888888886</v>
      </c>
      <c r="P131" s="5">
        <f t="shared" si="9"/>
        <v>0.78572127139364312</v>
      </c>
      <c r="Q131" s="5">
        <f t="shared" si="10"/>
        <v>0.97815533980582525</v>
      </c>
      <c r="R131" s="5">
        <f t="shared" si="11"/>
        <v>0.69853333333333345</v>
      </c>
    </row>
    <row r="132" spans="1:18" x14ac:dyDescent="0.25">
      <c r="A132" s="3">
        <v>128</v>
      </c>
      <c r="B132" s="4">
        <v>46274</v>
      </c>
      <c r="C132" s="3" t="s">
        <v>28</v>
      </c>
      <c r="D132" s="3" t="s">
        <v>21</v>
      </c>
      <c r="E132" s="3" t="s">
        <v>31</v>
      </c>
      <c r="F132" s="3">
        <v>228</v>
      </c>
      <c r="G132" s="3">
        <v>222</v>
      </c>
      <c r="H132" s="3">
        <v>6</v>
      </c>
      <c r="I132" s="5">
        <f t="shared" si="7"/>
        <v>2.6315789473684209E-2</v>
      </c>
      <c r="J132" s="6">
        <f t="shared" si="12"/>
        <v>26315.78947368421</v>
      </c>
      <c r="K132" s="7">
        <v>1.63</v>
      </c>
      <c r="L132" s="3">
        <v>443</v>
      </c>
      <c r="M132" s="3">
        <v>450</v>
      </c>
      <c r="N132" s="3">
        <v>7</v>
      </c>
      <c r="O132" s="5">
        <f t="shared" si="8"/>
        <v>0.98444444444444446</v>
      </c>
      <c r="P132" s="5">
        <f t="shared" si="9"/>
        <v>0.83891647855530471</v>
      </c>
      <c r="Q132" s="5">
        <f t="shared" si="10"/>
        <v>0.97368421052631582</v>
      </c>
      <c r="R132" s="5">
        <f t="shared" si="11"/>
        <v>0.80413333333333337</v>
      </c>
    </row>
    <row r="133" spans="1:18" x14ac:dyDescent="0.25">
      <c r="A133" s="3">
        <v>129</v>
      </c>
      <c r="B133" s="4">
        <v>46274</v>
      </c>
      <c r="C133" s="3" t="s">
        <v>28</v>
      </c>
      <c r="D133" s="3" t="s">
        <v>23</v>
      </c>
      <c r="E133" s="3" t="s">
        <v>20</v>
      </c>
      <c r="F133" s="3">
        <v>252</v>
      </c>
      <c r="G133" s="3">
        <v>248</v>
      </c>
      <c r="H133" s="3">
        <v>4</v>
      </c>
      <c r="I133" s="5">
        <f t="shared" ref="I133:I196" si="13">IFERROR(H133/F133,0)</f>
        <v>1.5873015873015872E-2</v>
      </c>
      <c r="J133" s="6">
        <f t="shared" si="12"/>
        <v>15873.015873015873</v>
      </c>
      <c r="K133" s="7">
        <v>1.34</v>
      </c>
      <c r="L133" s="3">
        <v>413</v>
      </c>
      <c r="M133" s="3">
        <v>450</v>
      </c>
      <c r="N133" s="3">
        <v>37</v>
      </c>
      <c r="O133" s="5">
        <f t="shared" ref="O133:O196" si="14">IFERROR(L133/M133,0)</f>
        <v>0.9177777777777778</v>
      </c>
      <c r="P133" s="5">
        <f t="shared" ref="P133:P196" si="15">IFERROR(F133*K133/L133,0)</f>
        <v>0.81762711864406779</v>
      </c>
      <c r="Q133" s="5">
        <f t="shared" ref="Q133:Q196" si="16">IFERROR(G133/F133,0)</f>
        <v>0.98412698412698407</v>
      </c>
      <c r="R133" s="5">
        <f t="shared" ref="R133:R196" si="17">O133*P133*Q133</f>
        <v>0.73848888888888875</v>
      </c>
    </row>
    <row r="134" spans="1:18" x14ac:dyDescent="0.25">
      <c r="A134" s="3">
        <v>130</v>
      </c>
      <c r="B134" s="4">
        <v>46274</v>
      </c>
      <c r="C134" s="3" t="s">
        <v>30</v>
      </c>
      <c r="D134" s="3" t="s">
        <v>19</v>
      </c>
      <c r="E134" s="3" t="s">
        <v>26</v>
      </c>
      <c r="F134" s="3">
        <v>297</v>
      </c>
      <c r="G134" s="3">
        <v>287</v>
      </c>
      <c r="H134" s="3">
        <v>10</v>
      </c>
      <c r="I134" s="5">
        <f t="shared" si="13"/>
        <v>3.3670033670033669E-2</v>
      </c>
      <c r="J134" s="6">
        <f t="shared" ref="J134:J197" si="18">H134/F134*1000000</f>
        <v>33670.03367003367</v>
      </c>
      <c r="K134" s="7">
        <v>1.32</v>
      </c>
      <c r="L134" s="3">
        <v>442</v>
      </c>
      <c r="M134" s="3">
        <v>450</v>
      </c>
      <c r="N134" s="3">
        <v>8</v>
      </c>
      <c r="O134" s="5">
        <f t="shared" si="14"/>
        <v>0.98222222222222222</v>
      </c>
      <c r="P134" s="5">
        <f t="shared" si="15"/>
        <v>0.88696832579185525</v>
      </c>
      <c r="Q134" s="5">
        <f t="shared" si="16"/>
        <v>0.96632996632996637</v>
      </c>
      <c r="R134" s="5">
        <f t="shared" si="17"/>
        <v>0.84186666666666676</v>
      </c>
    </row>
    <row r="135" spans="1:18" x14ac:dyDescent="0.25">
      <c r="A135" s="3">
        <v>131</v>
      </c>
      <c r="B135" s="4">
        <v>46274</v>
      </c>
      <c r="C135" s="3" t="s">
        <v>30</v>
      </c>
      <c r="D135" s="3" t="s">
        <v>21</v>
      </c>
      <c r="E135" s="3" t="s">
        <v>24</v>
      </c>
      <c r="F135" s="3">
        <v>277</v>
      </c>
      <c r="G135" s="3">
        <v>267</v>
      </c>
      <c r="H135" s="3">
        <v>10</v>
      </c>
      <c r="I135" s="5">
        <f t="shared" si="13"/>
        <v>3.6101083032490974E-2</v>
      </c>
      <c r="J135" s="6">
        <f t="shared" si="18"/>
        <v>36101.083032490977</v>
      </c>
      <c r="K135" s="7">
        <v>1.61</v>
      </c>
      <c r="L135" s="3">
        <v>434</v>
      </c>
      <c r="M135" s="3">
        <v>450</v>
      </c>
      <c r="N135" s="3">
        <v>16</v>
      </c>
      <c r="O135" s="5">
        <f t="shared" si="14"/>
        <v>0.96444444444444444</v>
      </c>
      <c r="P135" s="5">
        <f t="shared" si="15"/>
        <v>1.0275806451612903</v>
      </c>
      <c r="Q135" s="5">
        <f t="shared" si="16"/>
        <v>0.96389891696750907</v>
      </c>
      <c r="R135" s="5">
        <f t="shared" si="17"/>
        <v>0.95526666666666671</v>
      </c>
    </row>
    <row r="136" spans="1:18" x14ac:dyDescent="0.25">
      <c r="A136" s="3">
        <v>132</v>
      </c>
      <c r="B136" s="4">
        <v>46274</v>
      </c>
      <c r="C136" s="3" t="s">
        <v>30</v>
      </c>
      <c r="D136" s="3" t="s">
        <v>23</v>
      </c>
      <c r="E136" s="3" t="s">
        <v>26</v>
      </c>
      <c r="F136" s="3">
        <v>247</v>
      </c>
      <c r="G136" s="3">
        <v>239</v>
      </c>
      <c r="H136" s="3">
        <v>8</v>
      </c>
      <c r="I136" s="5">
        <f t="shared" si="13"/>
        <v>3.2388663967611336E-2</v>
      </c>
      <c r="J136" s="6">
        <f t="shared" si="18"/>
        <v>32388.663967611337</v>
      </c>
      <c r="K136" s="7">
        <v>1.59</v>
      </c>
      <c r="L136" s="3">
        <v>399</v>
      </c>
      <c r="M136" s="3">
        <v>450</v>
      </c>
      <c r="N136" s="3">
        <v>51</v>
      </c>
      <c r="O136" s="5">
        <f t="shared" si="14"/>
        <v>0.88666666666666671</v>
      </c>
      <c r="P136" s="5">
        <f t="shared" si="15"/>
        <v>0.98428571428571432</v>
      </c>
      <c r="Q136" s="5">
        <f t="shared" si="16"/>
        <v>0.96761133603238869</v>
      </c>
      <c r="R136" s="5">
        <f t="shared" si="17"/>
        <v>0.8444666666666667</v>
      </c>
    </row>
    <row r="137" spans="1:18" x14ac:dyDescent="0.25">
      <c r="A137" s="3">
        <v>133</v>
      </c>
      <c r="B137" s="4">
        <v>46274</v>
      </c>
      <c r="C137" s="3" t="s">
        <v>33</v>
      </c>
      <c r="D137" s="3" t="s">
        <v>19</v>
      </c>
      <c r="E137" s="3" t="s">
        <v>20</v>
      </c>
      <c r="F137" s="3">
        <v>235</v>
      </c>
      <c r="G137" s="3">
        <v>228</v>
      </c>
      <c r="H137" s="3">
        <v>7</v>
      </c>
      <c r="I137" s="5">
        <f t="shared" si="13"/>
        <v>2.9787234042553193E-2</v>
      </c>
      <c r="J137" s="6">
        <f t="shared" si="18"/>
        <v>29787.234042553191</v>
      </c>
      <c r="K137" s="7">
        <v>1.51</v>
      </c>
      <c r="L137" s="3">
        <v>396</v>
      </c>
      <c r="M137" s="3">
        <v>450</v>
      </c>
      <c r="N137" s="3">
        <v>54</v>
      </c>
      <c r="O137" s="5">
        <f t="shared" si="14"/>
        <v>0.88</v>
      </c>
      <c r="P137" s="5">
        <f t="shared" si="15"/>
        <v>0.89608585858585865</v>
      </c>
      <c r="Q137" s="5">
        <f t="shared" si="16"/>
        <v>0.97021276595744677</v>
      </c>
      <c r="R137" s="5">
        <f t="shared" si="17"/>
        <v>0.76506666666666667</v>
      </c>
    </row>
    <row r="138" spans="1:18" x14ac:dyDescent="0.25">
      <c r="A138" s="3">
        <v>134</v>
      </c>
      <c r="B138" s="4">
        <v>46274</v>
      </c>
      <c r="C138" s="3" t="s">
        <v>33</v>
      </c>
      <c r="D138" s="3" t="s">
        <v>21</v>
      </c>
      <c r="E138" s="3" t="s">
        <v>32</v>
      </c>
      <c r="F138" s="3">
        <v>350</v>
      </c>
      <c r="G138" s="3">
        <v>343</v>
      </c>
      <c r="H138" s="3">
        <v>7</v>
      </c>
      <c r="I138" s="5">
        <f t="shared" si="13"/>
        <v>0.02</v>
      </c>
      <c r="J138" s="6">
        <f t="shared" si="18"/>
        <v>20000</v>
      </c>
      <c r="K138" s="7">
        <v>1.1000000000000001</v>
      </c>
      <c r="L138" s="3">
        <v>388</v>
      </c>
      <c r="M138" s="3">
        <v>450</v>
      </c>
      <c r="N138" s="3">
        <v>62</v>
      </c>
      <c r="O138" s="5">
        <f t="shared" si="14"/>
        <v>0.86222222222222222</v>
      </c>
      <c r="P138" s="5">
        <f t="shared" si="15"/>
        <v>0.99226804123711354</v>
      </c>
      <c r="Q138" s="5">
        <f t="shared" si="16"/>
        <v>0.98</v>
      </c>
      <c r="R138" s="5">
        <f t="shared" si="17"/>
        <v>0.83844444444444455</v>
      </c>
    </row>
    <row r="139" spans="1:18" x14ac:dyDescent="0.25">
      <c r="A139" s="3">
        <v>135</v>
      </c>
      <c r="B139" s="4">
        <v>46274</v>
      </c>
      <c r="C139" s="3" t="s">
        <v>33</v>
      </c>
      <c r="D139" s="3" t="s">
        <v>23</v>
      </c>
      <c r="E139" s="3" t="s">
        <v>20</v>
      </c>
      <c r="F139" s="3">
        <v>263</v>
      </c>
      <c r="G139" s="3">
        <v>259</v>
      </c>
      <c r="H139" s="3">
        <v>4</v>
      </c>
      <c r="I139" s="5">
        <f t="shared" si="13"/>
        <v>1.5209125475285171E-2</v>
      </c>
      <c r="J139" s="6">
        <f t="shared" si="18"/>
        <v>15209.125475285171</v>
      </c>
      <c r="K139" s="7">
        <v>1.54</v>
      </c>
      <c r="L139" s="3">
        <v>398</v>
      </c>
      <c r="M139" s="3">
        <v>450</v>
      </c>
      <c r="N139" s="3">
        <v>52</v>
      </c>
      <c r="O139" s="5">
        <f t="shared" si="14"/>
        <v>0.88444444444444448</v>
      </c>
      <c r="P139" s="5">
        <f t="shared" si="15"/>
        <v>1.0176381909547738</v>
      </c>
      <c r="Q139" s="5">
        <f t="shared" si="16"/>
        <v>0.98479087452471481</v>
      </c>
      <c r="R139" s="5">
        <f t="shared" si="17"/>
        <v>0.88635555555555556</v>
      </c>
    </row>
    <row r="140" spans="1:18" x14ac:dyDescent="0.25">
      <c r="A140" s="3">
        <v>136</v>
      </c>
      <c r="B140" s="4">
        <v>46275</v>
      </c>
      <c r="C140" s="3" t="s">
        <v>18</v>
      </c>
      <c r="D140" s="3" t="s">
        <v>19</v>
      </c>
      <c r="E140" s="3" t="s">
        <v>20</v>
      </c>
      <c r="F140" s="3">
        <v>278</v>
      </c>
      <c r="G140" s="3">
        <v>266</v>
      </c>
      <c r="H140" s="3">
        <v>12</v>
      </c>
      <c r="I140" s="5">
        <f t="shared" si="13"/>
        <v>4.3165467625899283E-2</v>
      </c>
      <c r="J140" s="6">
        <f t="shared" si="18"/>
        <v>43165.467625899284</v>
      </c>
      <c r="K140" s="7">
        <v>1.38</v>
      </c>
      <c r="L140" s="3">
        <v>397</v>
      </c>
      <c r="M140" s="3">
        <v>450</v>
      </c>
      <c r="N140" s="3">
        <v>53</v>
      </c>
      <c r="O140" s="5">
        <f t="shared" si="14"/>
        <v>0.88222222222222224</v>
      </c>
      <c r="P140" s="5">
        <f t="shared" si="15"/>
        <v>0.96634760705289668</v>
      </c>
      <c r="Q140" s="5">
        <f t="shared" si="16"/>
        <v>0.95683453237410077</v>
      </c>
      <c r="R140" s="5">
        <f t="shared" si="17"/>
        <v>0.81573333333333342</v>
      </c>
    </row>
    <row r="141" spans="1:18" x14ac:dyDescent="0.25">
      <c r="A141" s="3">
        <v>137</v>
      </c>
      <c r="B141" s="4">
        <v>46275</v>
      </c>
      <c r="C141" s="3" t="s">
        <v>18</v>
      </c>
      <c r="D141" s="3" t="s">
        <v>21</v>
      </c>
      <c r="E141" s="3" t="s">
        <v>34</v>
      </c>
      <c r="F141" s="3">
        <v>231</v>
      </c>
      <c r="G141" s="3">
        <v>229</v>
      </c>
      <c r="H141" s="3">
        <v>2</v>
      </c>
      <c r="I141" s="5">
        <f t="shared" si="13"/>
        <v>8.658008658008658E-3</v>
      </c>
      <c r="J141" s="6">
        <f t="shared" si="18"/>
        <v>8658.0086580086572</v>
      </c>
      <c r="K141" s="7">
        <v>1.67</v>
      </c>
      <c r="L141" s="3">
        <v>418</v>
      </c>
      <c r="M141" s="3">
        <v>450</v>
      </c>
      <c r="N141" s="3">
        <v>32</v>
      </c>
      <c r="O141" s="5">
        <f t="shared" si="14"/>
        <v>0.92888888888888888</v>
      </c>
      <c r="P141" s="5">
        <f t="shared" si="15"/>
        <v>0.92289473684210521</v>
      </c>
      <c r="Q141" s="5">
        <f t="shared" si="16"/>
        <v>0.9913419913419913</v>
      </c>
      <c r="R141" s="5">
        <f t="shared" si="17"/>
        <v>0.8498444444444444</v>
      </c>
    </row>
    <row r="142" spans="1:18" x14ac:dyDescent="0.25">
      <c r="A142" s="3">
        <v>138</v>
      </c>
      <c r="B142" s="4">
        <v>46275</v>
      </c>
      <c r="C142" s="3" t="s">
        <v>18</v>
      </c>
      <c r="D142" s="3" t="s">
        <v>23</v>
      </c>
      <c r="E142" s="3" t="s">
        <v>27</v>
      </c>
      <c r="F142" s="3">
        <v>197</v>
      </c>
      <c r="G142" s="3">
        <v>190</v>
      </c>
      <c r="H142" s="3">
        <v>7</v>
      </c>
      <c r="I142" s="5">
        <f t="shared" si="13"/>
        <v>3.553299492385787E-2</v>
      </c>
      <c r="J142" s="6">
        <f t="shared" si="18"/>
        <v>35532.99492385787</v>
      </c>
      <c r="K142" s="7">
        <v>1.76</v>
      </c>
      <c r="L142" s="3">
        <v>411</v>
      </c>
      <c r="M142" s="3">
        <v>450</v>
      </c>
      <c r="N142" s="3">
        <v>39</v>
      </c>
      <c r="O142" s="5">
        <f t="shared" si="14"/>
        <v>0.91333333333333333</v>
      </c>
      <c r="P142" s="5">
        <f t="shared" si="15"/>
        <v>0.8436009732360098</v>
      </c>
      <c r="Q142" s="5">
        <f t="shared" si="16"/>
        <v>0.96446700507614214</v>
      </c>
      <c r="R142" s="5">
        <f t="shared" si="17"/>
        <v>0.74311111111111128</v>
      </c>
    </row>
    <row r="143" spans="1:18" x14ac:dyDescent="0.25">
      <c r="A143" s="3">
        <v>139</v>
      </c>
      <c r="B143" s="4">
        <v>46275</v>
      </c>
      <c r="C143" s="3" t="s">
        <v>25</v>
      </c>
      <c r="D143" s="3" t="s">
        <v>19</v>
      </c>
      <c r="E143" s="3" t="s">
        <v>24</v>
      </c>
      <c r="F143" s="3">
        <v>220</v>
      </c>
      <c r="G143" s="3">
        <v>218</v>
      </c>
      <c r="H143" s="3">
        <v>2</v>
      </c>
      <c r="I143" s="5">
        <f t="shared" si="13"/>
        <v>9.0909090909090905E-3</v>
      </c>
      <c r="J143" s="6">
        <f t="shared" si="18"/>
        <v>9090.9090909090901</v>
      </c>
      <c r="K143" s="7">
        <v>1.5</v>
      </c>
      <c r="L143" s="3">
        <v>397</v>
      </c>
      <c r="M143" s="3">
        <v>450</v>
      </c>
      <c r="N143" s="3">
        <v>53</v>
      </c>
      <c r="O143" s="5">
        <f t="shared" si="14"/>
        <v>0.88222222222222224</v>
      </c>
      <c r="P143" s="5">
        <f t="shared" si="15"/>
        <v>0.83123425692695219</v>
      </c>
      <c r="Q143" s="5">
        <f t="shared" si="16"/>
        <v>0.99090909090909096</v>
      </c>
      <c r="R143" s="5">
        <f t="shared" si="17"/>
        <v>0.72666666666666679</v>
      </c>
    </row>
    <row r="144" spans="1:18" x14ac:dyDescent="0.25">
      <c r="A144" s="3">
        <v>140</v>
      </c>
      <c r="B144" s="4">
        <v>46275</v>
      </c>
      <c r="C144" s="3" t="s">
        <v>25</v>
      </c>
      <c r="D144" s="3" t="s">
        <v>21</v>
      </c>
      <c r="E144" s="3" t="s">
        <v>22</v>
      </c>
      <c r="F144" s="3">
        <v>239</v>
      </c>
      <c r="G144" s="3">
        <v>237</v>
      </c>
      <c r="H144" s="3">
        <v>2</v>
      </c>
      <c r="I144" s="5">
        <f t="shared" si="13"/>
        <v>8.368200836820083E-3</v>
      </c>
      <c r="J144" s="6">
        <f t="shared" si="18"/>
        <v>8368.2008368200823</v>
      </c>
      <c r="K144" s="7">
        <v>1.59</v>
      </c>
      <c r="L144" s="3">
        <v>419</v>
      </c>
      <c r="M144" s="3">
        <v>450</v>
      </c>
      <c r="N144" s="3">
        <v>31</v>
      </c>
      <c r="O144" s="5">
        <f t="shared" si="14"/>
        <v>0.93111111111111111</v>
      </c>
      <c r="P144" s="5">
        <f t="shared" si="15"/>
        <v>0.90694510739856804</v>
      </c>
      <c r="Q144" s="5">
        <f t="shared" si="16"/>
        <v>0.99163179916317989</v>
      </c>
      <c r="R144" s="5">
        <f t="shared" si="17"/>
        <v>0.83740000000000003</v>
      </c>
    </row>
    <row r="145" spans="1:18" x14ac:dyDescent="0.25">
      <c r="A145" s="3">
        <v>141</v>
      </c>
      <c r="B145" s="4">
        <v>46275</v>
      </c>
      <c r="C145" s="3" t="s">
        <v>25</v>
      </c>
      <c r="D145" s="3" t="s">
        <v>23</v>
      </c>
      <c r="E145" s="3" t="s">
        <v>22</v>
      </c>
      <c r="F145" s="3">
        <v>311</v>
      </c>
      <c r="G145" s="3">
        <v>306</v>
      </c>
      <c r="H145" s="3">
        <v>5</v>
      </c>
      <c r="I145" s="5">
        <f t="shared" si="13"/>
        <v>1.607717041800643E-2</v>
      </c>
      <c r="J145" s="6">
        <f t="shared" si="18"/>
        <v>16077.17041800643</v>
      </c>
      <c r="K145" s="7">
        <v>1.39</v>
      </c>
      <c r="L145" s="3">
        <v>433</v>
      </c>
      <c r="M145" s="3">
        <v>450</v>
      </c>
      <c r="N145" s="3">
        <v>17</v>
      </c>
      <c r="O145" s="5">
        <f t="shared" si="14"/>
        <v>0.9622222222222222</v>
      </c>
      <c r="P145" s="5">
        <f t="shared" si="15"/>
        <v>0.99836027713625852</v>
      </c>
      <c r="Q145" s="5">
        <f t="shared" si="16"/>
        <v>0.98392282958199362</v>
      </c>
      <c r="R145" s="5">
        <f t="shared" si="17"/>
        <v>0.94519999999999993</v>
      </c>
    </row>
    <row r="146" spans="1:18" x14ac:dyDescent="0.25">
      <c r="A146" s="3">
        <v>142</v>
      </c>
      <c r="B146" s="4">
        <v>46275</v>
      </c>
      <c r="C146" s="3" t="s">
        <v>28</v>
      </c>
      <c r="D146" s="3" t="s">
        <v>19</v>
      </c>
      <c r="E146" s="3" t="s">
        <v>35</v>
      </c>
      <c r="F146" s="3">
        <v>538</v>
      </c>
      <c r="G146" s="3">
        <v>525</v>
      </c>
      <c r="H146" s="3">
        <v>13</v>
      </c>
      <c r="I146" s="5">
        <f t="shared" si="13"/>
        <v>2.4163568773234202E-2</v>
      </c>
      <c r="J146" s="6">
        <f t="shared" si="18"/>
        <v>24163.568773234201</v>
      </c>
      <c r="K146" s="7">
        <v>0.64</v>
      </c>
      <c r="L146" s="3">
        <v>430</v>
      </c>
      <c r="M146" s="3">
        <v>450</v>
      </c>
      <c r="N146" s="3">
        <v>20</v>
      </c>
      <c r="O146" s="5">
        <f t="shared" si="14"/>
        <v>0.9555555555555556</v>
      </c>
      <c r="P146" s="5">
        <f t="shared" si="15"/>
        <v>0.80074418604651165</v>
      </c>
      <c r="Q146" s="5">
        <f t="shared" si="16"/>
        <v>0.97583643122676578</v>
      </c>
      <c r="R146" s="5">
        <f t="shared" si="17"/>
        <v>0.7466666666666667</v>
      </c>
    </row>
    <row r="147" spans="1:18" x14ac:dyDescent="0.25">
      <c r="A147" s="3">
        <v>143</v>
      </c>
      <c r="B147" s="4">
        <v>46275</v>
      </c>
      <c r="C147" s="3" t="s">
        <v>28</v>
      </c>
      <c r="D147" s="3" t="s">
        <v>21</v>
      </c>
      <c r="E147" s="3" t="s">
        <v>22</v>
      </c>
      <c r="F147" s="3">
        <v>390</v>
      </c>
      <c r="G147" s="3">
        <v>383</v>
      </c>
      <c r="H147" s="3">
        <v>7</v>
      </c>
      <c r="I147" s="5">
        <f t="shared" si="13"/>
        <v>1.7948717948717947E-2</v>
      </c>
      <c r="J147" s="6">
        <f t="shared" si="18"/>
        <v>17948.717948717949</v>
      </c>
      <c r="K147" s="7">
        <v>1</v>
      </c>
      <c r="L147" s="3">
        <v>436</v>
      </c>
      <c r="M147" s="3">
        <v>450</v>
      </c>
      <c r="N147" s="3">
        <v>14</v>
      </c>
      <c r="O147" s="5">
        <f t="shared" si="14"/>
        <v>0.96888888888888891</v>
      </c>
      <c r="P147" s="5">
        <f t="shared" si="15"/>
        <v>0.89449541284403666</v>
      </c>
      <c r="Q147" s="5">
        <f t="shared" si="16"/>
        <v>0.982051282051282</v>
      </c>
      <c r="R147" s="5">
        <f t="shared" si="17"/>
        <v>0.85111111111111115</v>
      </c>
    </row>
    <row r="148" spans="1:18" x14ac:dyDescent="0.25">
      <c r="A148" s="3">
        <v>144</v>
      </c>
      <c r="B148" s="4">
        <v>46275</v>
      </c>
      <c r="C148" s="3" t="s">
        <v>28</v>
      </c>
      <c r="D148" s="3" t="s">
        <v>23</v>
      </c>
      <c r="E148" s="3" t="s">
        <v>24</v>
      </c>
      <c r="F148" s="3">
        <v>465</v>
      </c>
      <c r="G148" s="3">
        <v>445</v>
      </c>
      <c r="H148" s="3">
        <v>20</v>
      </c>
      <c r="I148" s="5">
        <f t="shared" si="13"/>
        <v>4.3010752688172046E-2</v>
      </c>
      <c r="J148" s="6">
        <f t="shared" si="18"/>
        <v>43010.752688172048</v>
      </c>
      <c r="K148" s="7">
        <v>0.73</v>
      </c>
      <c r="L148" s="3">
        <v>400</v>
      </c>
      <c r="M148" s="3">
        <v>450</v>
      </c>
      <c r="N148" s="3">
        <v>50</v>
      </c>
      <c r="O148" s="5">
        <f t="shared" si="14"/>
        <v>0.88888888888888884</v>
      </c>
      <c r="P148" s="5">
        <f t="shared" si="15"/>
        <v>0.84862499999999996</v>
      </c>
      <c r="Q148" s="5">
        <f t="shared" si="16"/>
        <v>0.956989247311828</v>
      </c>
      <c r="R148" s="5">
        <f t="shared" si="17"/>
        <v>0.72188888888888891</v>
      </c>
    </row>
    <row r="149" spans="1:18" x14ac:dyDescent="0.25">
      <c r="A149" s="3">
        <v>145</v>
      </c>
      <c r="B149" s="4">
        <v>46275</v>
      </c>
      <c r="C149" s="3" t="s">
        <v>30</v>
      </c>
      <c r="D149" s="3" t="s">
        <v>19</v>
      </c>
      <c r="E149" s="3" t="s">
        <v>35</v>
      </c>
      <c r="F149" s="3">
        <v>636</v>
      </c>
      <c r="G149" s="3">
        <v>632</v>
      </c>
      <c r="H149" s="3">
        <v>4</v>
      </c>
      <c r="I149" s="5">
        <f t="shared" si="13"/>
        <v>6.2893081761006293E-3</v>
      </c>
      <c r="J149" s="6">
        <f t="shared" si="18"/>
        <v>6289.3081761006297</v>
      </c>
      <c r="K149" s="7">
        <v>0.59</v>
      </c>
      <c r="L149" s="3">
        <v>436</v>
      </c>
      <c r="M149" s="3">
        <v>450</v>
      </c>
      <c r="N149" s="3">
        <v>14</v>
      </c>
      <c r="O149" s="5">
        <f t="shared" si="14"/>
        <v>0.96888888888888891</v>
      </c>
      <c r="P149" s="5">
        <f t="shared" si="15"/>
        <v>0.86064220183486229</v>
      </c>
      <c r="Q149" s="5">
        <f t="shared" si="16"/>
        <v>0.99371069182389937</v>
      </c>
      <c r="R149" s="5">
        <f t="shared" si="17"/>
        <v>0.82862222222222204</v>
      </c>
    </row>
    <row r="150" spans="1:18" x14ac:dyDescent="0.25">
      <c r="A150" s="3">
        <v>146</v>
      </c>
      <c r="B150" s="4">
        <v>46275</v>
      </c>
      <c r="C150" s="3" t="s">
        <v>30</v>
      </c>
      <c r="D150" s="3" t="s">
        <v>21</v>
      </c>
      <c r="E150" s="3" t="s">
        <v>35</v>
      </c>
      <c r="F150" s="3">
        <v>430</v>
      </c>
      <c r="G150" s="3">
        <v>414</v>
      </c>
      <c r="H150" s="3">
        <v>16</v>
      </c>
      <c r="I150" s="5">
        <f t="shared" si="13"/>
        <v>3.7209302325581395E-2</v>
      </c>
      <c r="J150" s="6">
        <f t="shared" si="18"/>
        <v>37209.302325581397</v>
      </c>
      <c r="K150" s="7">
        <v>0.71</v>
      </c>
      <c r="L150" s="3">
        <v>385</v>
      </c>
      <c r="M150" s="3">
        <v>450</v>
      </c>
      <c r="N150" s="3">
        <v>65</v>
      </c>
      <c r="O150" s="5">
        <f t="shared" si="14"/>
        <v>0.85555555555555551</v>
      </c>
      <c r="P150" s="5">
        <f t="shared" si="15"/>
        <v>0.79298701298701302</v>
      </c>
      <c r="Q150" s="5">
        <f t="shared" si="16"/>
        <v>0.96279069767441861</v>
      </c>
      <c r="R150" s="5">
        <f t="shared" si="17"/>
        <v>0.6532</v>
      </c>
    </row>
    <row r="151" spans="1:18" x14ac:dyDescent="0.25">
      <c r="A151" s="3">
        <v>147</v>
      </c>
      <c r="B151" s="4">
        <v>46275</v>
      </c>
      <c r="C151" s="3" t="s">
        <v>30</v>
      </c>
      <c r="D151" s="3" t="s">
        <v>23</v>
      </c>
      <c r="E151" s="3" t="s">
        <v>32</v>
      </c>
      <c r="F151" s="3">
        <v>374</v>
      </c>
      <c r="G151" s="3">
        <v>363</v>
      </c>
      <c r="H151" s="3">
        <v>11</v>
      </c>
      <c r="I151" s="5">
        <f t="shared" si="13"/>
        <v>2.9411764705882353E-2</v>
      </c>
      <c r="J151" s="6">
        <f t="shared" si="18"/>
        <v>29411.764705882353</v>
      </c>
      <c r="K151" s="7">
        <v>1.0900000000000001</v>
      </c>
      <c r="L151" s="3">
        <v>432</v>
      </c>
      <c r="M151" s="3">
        <v>450</v>
      </c>
      <c r="N151" s="3">
        <v>18</v>
      </c>
      <c r="O151" s="5">
        <f t="shared" si="14"/>
        <v>0.96</v>
      </c>
      <c r="P151" s="5">
        <f t="shared" si="15"/>
        <v>0.94365740740740744</v>
      </c>
      <c r="Q151" s="5">
        <f t="shared" si="16"/>
        <v>0.97058823529411764</v>
      </c>
      <c r="R151" s="5">
        <f t="shared" si="17"/>
        <v>0.87926666666666664</v>
      </c>
    </row>
    <row r="152" spans="1:18" x14ac:dyDescent="0.25">
      <c r="A152" s="3">
        <v>148</v>
      </c>
      <c r="B152" s="4">
        <v>46275</v>
      </c>
      <c r="C152" s="3" t="s">
        <v>33</v>
      </c>
      <c r="D152" s="3" t="s">
        <v>19</v>
      </c>
      <c r="E152" s="3" t="s">
        <v>27</v>
      </c>
      <c r="F152" s="3">
        <v>253</v>
      </c>
      <c r="G152" s="3">
        <v>245</v>
      </c>
      <c r="H152" s="3">
        <v>8</v>
      </c>
      <c r="I152" s="5">
        <f t="shared" si="13"/>
        <v>3.1620553359683792E-2</v>
      </c>
      <c r="J152" s="6">
        <f t="shared" si="18"/>
        <v>31620.553359683792</v>
      </c>
      <c r="K152" s="7">
        <v>1.71</v>
      </c>
      <c r="L152" s="3">
        <v>425</v>
      </c>
      <c r="M152" s="3">
        <v>450</v>
      </c>
      <c r="N152" s="3">
        <v>25</v>
      </c>
      <c r="O152" s="5">
        <f t="shared" si="14"/>
        <v>0.94444444444444442</v>
      </c>
      <c r="P152" s="5">
        <f t="shared" si="15"/>
        <v>1.0179529411764705</v>
      </c>
      <c r="Q152" s="5">
        <f t="shared" si="16"/>
        <v>0.96837944664031617</v>
      </c>
      <c r="R152" s="5">
        <f t="shared" si="17"/>
        <v>0.93099999999999994</v>
      </c>
    </row>
    <row r="153" spans="1:18" x14ac:dyDescent="0.25">
      <c r="A153" s="3">
        <v>149</v>
      </c>
      <c r="B153" s="4">
        <v>46275</v>
      </c>
      <c r="C153" s="3" t="s">
        <v>33</v>
      </c>
      <c r="D153" s="3" t="s">
        <v>21</v>
      </c>
      <c r="E153" s="3" t="s">
        <v>26</v>
      </c>
      <c r="F153" s="3">
        <v>244</v>
      </c>
      <c r="G153" s="3">
        <v>236</v>
      </c>
      <c r="H153" s="3">
        <v>8</v>
      </c>
      <c r="I153" s="5">
        <f t="shared" si="13"/>
        <v>3.2786885245901641E-2</v>
      </c>
      <c r="J153" s="6">
        <f t="shared" si="18"/>
        <v>32786.885245901642</v>
      </c>
      <c r="K153" s="7">
        <v>1.54</v>
      </c>
      <c r="L153" s="3">
        <v>417</v>
      </c>
      <c r="M153" s="3">
        <v>450</v>
      </c>
      <c r="N153" s="3">
        <v>33</v>
      </c>
      <c r="O153" s="5">
        <f t="shared" si="14"/>
        <v>0.92666666666666664</v>
      </c>
      <c r="P153" s="5">
        <f t="shared" si="15"/>
        <v>0.90110311750599514</v>
      </c>
      <c r="Q153" s="5">
        <f t="shared" si="16"/>
        <v>0.96721311475409832</v>
      </c>
      <c r="R153" s="5">
        <f t="shared" si="17"/>
        <v>0.80764444444444428</v>
      </c>
    </row>
    <row r="154" spans="1:18" x14ac:dyDescent="0.25">
      <c r="A154" s="3">
        <v>150</v>
      </c>
      <c r="B154" s="4">
        <v>46275</v>
      </c>
      <c r="C154" s="3" t="s">
        <v>33</v>
      </c>
      <c r="D154" s="3" t="s">
        <v>23</v>
      </c>
      <c r="E154" s="3" t="s">
        <v>29</v>
      </c>
      <c r="F154" s="3">
        <v>836</v>
      </c>
      <c r="G154" s="3">
        <v>800</v>
      </c>
      <c r="H154" s="3">
        <v>36</v>
      </c>
      <c r="I154" s="5">
        <f t="shared" si="13"/>
        <v>4.3062200956937802E-2</v>
      </c>
      <c r="J154" s="6">
        <f t="shared" si="18"/>
        <v>43062.200956937799</v>
      </c>
      <c r="K154" s="7">
        <v>0.46</v>
      </c>
      <c r="L154" s="3">
        <v>397</v>
      </c>
      <c r="M154" s="3">
        <v>450</v>
      </c>
      <c r="N154" s="3">
        <v>53</v>
      </c>
      <c r="O154" s="5">
        <f t="shared" si="14"/>
        <v>0.88222222222222224</v>
      </c>
      <c r="P154" s="5">
        <f t="shared" si="15"/>
        <v>0.96866498740554152</v>
      </c>
      <c r="Q154" s="5">
        <f t="shared" si="16"/>
        <v>0.9569377990430622</v>
      </c>
      <c r="R154" s="5">
        <f t="shared" si="17"/>
        <v>0.81777777777777771</v>
      </c>
    </row>
    <row r="155" spans="1:18" x14ac:dyDescent="0.25">
      <c r="A155" s="3">
        <v>151</v>
      </c>
      <c r="B155" s="4">
        <v>46276</v>
      </c>
      <c r="C155" s="3" t="s">
        <v>18</v>
      </c>
      <c r="D155" s="3" t="s">
        <v>19</v>
      </c>
      <c r="E155" s="3" t="s">
        <v>32</v>
      </c>
      <c r="F155" s="3">
        <v>896</v>
      </c>
      <c r="G155" s="3">
        <v>885</v>
      </c>
      <c r="H155" s="3">
        <v>11</v>
      </c>
      <c r="I155" s="5">
        <f t="shared" si="13"/>
        <v>1.2276785714285714E-2</v>
      </c>
      <c r="J155" s="6">
        <f t="shared" si="18"/>
        <v>12276.785714285714</v>
      </c>
      <c r="K155" s="7">
        <v>0.47</v>
      </c>
      <c r="L155" s="3">
        <v>416</v>
      </c>
      <c r="M155" s="3">
        <v>450</v>
      </c>
      <c r="N155" s="3">
        <v>34</v>
      </c>
      <c r="O155" s="5">
        <f t="shared" si="14"/>
        <v>0.9244444444444444</v>
      </c>
      <c r="P155" s="5">
        <f t="shared" si="15"/>
        <v>1.0123076923076924</v>
      </c>
      <c r="Q155" s="5">
        <f t="shared" si="16"/>
        <v>0.9877232142857143</v>
      </c>
      <c r="R155" s="5">
        <f t="shared" si="17"/>
        <v>0.92433333333333334</v>
      </c>
    </row>
    <row r="156" spans="1:18" x14ac:dyDescent="0.25">
      <c r="A156" s="3">
        <v>152</v>
      </c>
      <c r="B156" s="4">
        <v>46276</v>
      </c>
      <c r="C156" s="3" t="s">
        <v>18</v>
      </c>
      <c r="D156" s="3" t="s">
        <v>21</v>
      </c>
      <c r="E156" s="3" t="s">
        <v>31</v>
      </c>
      <c r="F156" s="3">
        <v>359</v>
      </c>
      <c r="G156" s="3">
        <v>343</v>
      </c>
      <c r="H156" s="3">
        <v>16</v>
      </c>
      <c r="I156" s="5">
        <f t="shared" si="13"/>
        <v>4.456824512534819E-2</v>
      </c>
      <c r="J156" s="6">
        <f t="shared" si="18"/>
        <v>44568.245125348192</v>
      </c>
      <c r="K156" s="7">
        <v>1.1100000000000001</v>
      </c>
      <c r="L156" s="3">
        <v>394</v>
      </c>
      <c r="M156" s="3">
        <v>450</v>
      </c>
      <c r="N156" s="3">
        <v>56</v>
      </c>
      <c r="O156" s="5">
        <f t="shared" si="14"/>
        <v>0.87555555555555553</v>
      </c>
      <c r="P156" s="5">
        <f t="shared" si="15"/>
        <v>1.0113959390862945</v>
      </c>
      <c r="Q156" s="5">
        <f t="shared" si="16"/>
        <v>0.95543175487465182</v>
      </c>
      <c r="R156" s="5">
        <f t="shared" si="17"/>
        <v>0.84606666666666674</v>
      </c>
    </row>
    <row r="157" spans="1:18" x14ac:dyDescent="0.25">
      <c r="A157" s="3">
        <v>153</v>
      </c>
      <c r="B157" s="4">
        <v>46276</v>
      </c>
      <c r="C157" s="3" t="s">
        <v>18</v>
      </c>
      <c r="D157" s="3" t="s">
        <v>23</v>
      </c>
      <c r="E157" s="3" t="s">
        <v>27</v>
      </c>
      <c r="F157" s="3">
        <v>687</v>
      </c>
      <c r="G157" s="3">
        <v>679</v>
      </c>
      <c r="H157" s="3">
        <v>8</v>
      </c>
      <c r="I157" s="5">
        <f t="shared" si="13"/>
        <v>1.1644832605531296E-2</v>
      </c>
      <c r="J157" s="6">
        <f t="shared" si="18"/>
        <v>11644.832605531295</v>
      </c>
      <c r="K157" s="7">
        <v>0.54</v>
      </c>
      <c r="L157" s="3">
        <v>389</v>
      </c>
      <c r="M157" s="3">
        <v>450</v>
      </c>
      <c r="N157" s="3">
        <v>61</v>
      </c>
      <c r="O157" s="5">
        <f t="shared" si="14"/>
        <v>0.86444444444444446</v>
      </c>
      <c r="P157" s="5">
        <f t="shared" si="15"/>
        <v>0.9536760925449872</v>
      </c>
      <c r="Q157" s="5">
        <f t="shared" si="16"/>
        <v>0.98835516739446871</v>
      </c>
      <c r="R157" s="5">
        <f t="shared" si="17"/>
        <v>0.81480000000000008</v>
      </c>
    </row>
    <row r="158" spans="1:18" x14ac:dyDescent="0.25">
      <c r="A158" s="3">
        <v>154</v>
      </c>
      <c r="B158" s="4">
        <v>46276</v>
      </c>
      <c r="C158" s="3" t="s">
        <v>25</v>
      </c>
      <c r="D158" s="3" t="s">
        <v>19</v>
      </c>
      <c r="E158" s="3" t="s">
        <v>27</v>
      </c>
      <c r="F158" s="3">
        <v>406</v>
      </c>
      <c r="G158" s="3">
        <v>402</v>
      </c>
      <c r="H158" s="3">
        <v>4</v>
      </c>
      <c r="I158" s="5">
        <f t="shared" si="13"/>
        <v>9.852216748768473E-3</v>
      </c>
      <c r="J158" s="6">
        <f t="shared" si="18"/>
        <v>9852.2167487684728</v>
      </c>
      <c r="K158" s="7">
        <v>0.82</v>
      </c>
      <c r="L158" s="3">
        <v>424</v>
      </c>
      <c r="M158" s="3">
        <v>450</v>
      </c>
      <c r="N158" s="3">
        <v>26</v>
      </c>
      <c r="O158" s="5">
        <f t="shared" si="14"/>
        <v>0.94222222222222218</v>
      </c>
      <c r="P158" s="5">
        <f t="shared" si="15"/>
        <v>0.78518867924528291</v>
      </c>
      <c r="Q158" s="5">
        <f t="shared" si="16"/>
        <v>0.99014778325123154</v>
      </c>
      <c r="R158" s="5">
        <f t="shared" si="17"/>
        <v>0.73253333333333315</v>
      </c>
    </row>
    <row r="159" spans="1:18" x14ac:dyDescent="0.25">
      <c r="A159" s="3">
        <v>155</v>
      </c>
      <c r="B159" s="4">
        <v>46276</v>
      </c>
      <c r="C159" s="3" t="s">
        <v>25</v>
      </c>
      <c r="D159" s="3" t="s">
        <v>21</v>
      </c>
      <c r="E159" s="3" t="s">
        <v>27</v>
      </c>
      <c r="F159" s="3">
        <v>352</v>
      </c>
      <c r="G159" s="3">
        <v>339</v>
      </c>
      <c r="H159" s="3">
        <v>13</v>
      </c>
      <c r="I159" s="5">
        <f t="shared" si="13"/>
        <v>3.6931818181818184E-2</v>
      </c>
      <c r="J159" s="6">
        <f t="shared" si="18"/>
        <v>36931.818181818184</v>
      </c>
      <c r="K159" s="7">
        <v>1.17</v>
      </c>
      <c r="L159" s="3">
        <v>438</v>
      </c>
      <c r="M159" s="3">
        <v>450</v>
      </c>
      <c r="N159" s="3">
        <v>12</v>
      </c>
      <c r="O159" s="5">
        <f t="shared" si="14"/>
        <v>0.97333333333333338</v>
      </c>
      <c r="P159" s="5">
        <f t="shared" si="15"/>
        <v>0.9402739726027397</v>
      </c>
      <c r="Q159" s="5">
        <f t="shared" si="16"/>
        <v>0.96306818181818177</v>
      </c>
      <c r="R159" s="5">
        <f t="shared" si="17"/>
        <v>0.88139999999999996</v>
      </c>
    </row>
    <row r="160" spans="1:18" x14ac:dyDescent="0.25">
      <c r="A160" s="3">
        <v>156</v>
      </c>
      <c r="B160" s="4">
        <v>46276</v>
      </c>
      <c r="C160" s="3" t="s">
        <v>25</v>
      </c>
      <c r="D160" s="3" t="s">
        <v>23</v>
      </c>
      <c r="E160" s="3" t="s">
        <v>20</v>
      </c>
      <c r="F160" s="3">
        <v>362</v>
      </c>
      <c r="G160" s="3">
        <v>361</v>
      </c>
      <c r="H160" s="3">
        <v>1</v>
      </c>
      <c r="I160" s="5">
        <f t="shared" si="13"/>
        <v>2.7624309392265192E-3</v>
      </c>
      <c r="J160" s="6">
        <f t="shared" si="18"/>
        <v>2762.4309392265191</v>
      </c>
      <c r="K160" s="7">
        <v>0.95</v>
      </c>
      <c r="L160" s="3">
        <v>406</v>
      </c>
      <c r="M160" s="3">
        <v>450</v>
      </c>
      <c r="N160" s="3">
        <v>44</v>
      </c>
      <c r="O160" s="5">
        <f t="shared" si="14"/>
        <v>0.90222222222222226</v>
      </c>
      <c r="P160" s="5">
        <f t="shared" si="15"/>
        <v>0.84704433497536935</v>
      </c>
      <c r="Q160" s="5">
        <f t="shared" si="16"/>
        <v>0.99723756906077343</v>
      </c>
      <c r="R160" s="5">
        <f t="shared" si="17"/>
        <v>0.76211111111111096</v>
      </c>
    </row>
    <row r="161" spans="1:18" x14ac:dyDescent="0.25">
      <c r="A161" s="3">
        <v>157</v>
      </c>
      <c r="B161" s="4">
        <v>46276</v>
      </c>
      <c r="C161" s="3" t="s">
        <v>28</v>
      </c>
      <c r="D161" s="3" t="s">
        <v>19</v>
      </c>
      <c r="E161" s="3" t="s">
        <v>31</v>
      </c>
      <c r="F161" s="3">
        <v>559</v>
      </c>
      <c r="G161" s="3">
        <v>557</v>
      </c>
      <c r="H161" s="3">
        <v>2</v>
      </c>
      <c r="I161" s="5">
        <f t="shared" si="13"/>
        <v>3.5778175313059034E-3</v>
      </c>
      <c r="J161" s="6">
        <f t="shared" si="18"/>
        <v>3577.8175313059032</v>
      </c>
      <c r="K161" s="7">
        <v>0.65</v>
      </c>
      <c r="L161" s="3">
        <v>441</v>
      </c>
      <c r="M161" s="3">
        <v>450</v>
      </c>
      <c r="N161" s="3">
        <v>9</v>
      </c>
      <c r="O161" s="5">
        <f t="shared" si="14"/>
        <v>0.98</v>
      </c>
      <c r="P161" s="5">
        <f t="shared" si="15"/>
        <v>0.82392290249433109</v>
      </c>
      <c r="Q161" s="5">
        <f t="shared" si="16"/>
        <v>0.99642218246869407</v>
      </c>
      <c r="R161" s="5">
        <f t="shared" si="17"/>
        <v>0.80455555555555547</v>
      </c>
    </row>
    <row r="162" spans="1:18" x14ac:dyDescent="0.25">
      <c r="A162" s="3">
        <v>158</v>
      </c>
      <c r="B162" s="4">
        <v>46276</v>
      </c>
      <c r="C162" s="3" t="s">
        <v>28</v>
      </c>
      <c r="D162" s="3" t="s">
        <v>21</v>
      </c>
      <c r="E162" s="3" t="s">
        <v>32</v>
      </c>
      <c r="F162" s="3">
        <v>695</v>
      </c>
      <c r="G162" s="3">
        <v>675</v>
      </c>
      <c r="H162" s="3">
        <v>20</v>
      </c>
      <c r="I162" s="5">
        <f t="shared" si="13"/>
        <v>2.8776978417266189E-2</v>
      </c>
      <c r="J162" s="6">
        <f t="shared" si="18"/>
        <v>28776.978417266189</v>
      </c>
      <c r="K162" s="7">
        <v>0.57999999999999996</v>
      </c>
      <c r="L162" s="3">
        <v>426</v>
      </c>
      <c r="M162" s="3">
        <v>450</v>
      </c>
      <c r="N162" s="3">
        <v>24</v>
      </c>
      <c r="O162" s="5">
        <f t="shared" si="14"/>
        <v>0.94666666666666666</v>
      </c>
      <c r="P162" s="5">
        <f t="shared" si="15"/>
        <v>0.94624413145539898</v>
      </c>
      <c r="Q162" s="5">
        <f t="shared" si="16"/>
        <v>0.97122302158273377</v>
      </c>
      <c r="R162" s="5">
        <f t="shared" si="17"/>
        <v>0.86999999999999988</v>
      </c>
    </row>
    <row r="163" spans="1:18" x14ac:dyDescent="0.25">
      <c r="A163" s="3">
        <v>159</v>
      </c>
      <c r="B163" s="4">
        <v>46276</v>
      </c>
      <c r="C163" s="3" t="s">
        <v>28</v>
      </c>
      <c r="D163" s="3" t="s">
        <v>23</v>
      </c>
      <c r="E163" s="3" t="s">
        <v>31</v>
      </c>
      <c r="F163" s="3">
        <v>231</v>
      </c>
      <c r="G163" s="3">
        <v>229</v>
      </c>
      <c r="H163" s="3">
        <v>2</v>
      </c>
      <c r="I163" s="5">
        <f t="shared" si="13"/>
        <v>8.658008658008658E-3</v>
      </c>
      <c r="J163" s="6">
        <f t="shared" si="18"/>
        <v>8658.0086580086572</v>
      </c>
      <c r="K163" s="7">
        <v>1.71</v>
      </c>
      <c r="L163" s="3">
        <v>430</v>
      </c>
      <c r="M163" s="3">
        <v>450</v>
      </c>
      <c r="N163" s="3">
        <v>20</v>
      </c>
      <c r="O163" s="5">
        <f t="shared" si="14"/>
        <v>0.9555555555555556</v>
      </c>
      <c r="P163" s="5">
        <f t="shared" si="15"/>
        <v>0.91862790697674412</v>
      </c>
      <c r="Q163" s="5">
        <f t="shared" si="16"/>
        <v>0.9913419913419913</v>
      </c>
      <c r="R163" s="5">
        <f t="shared" si="17"/>
        <v>0.87019999999999997</v>
      </c>
    </row>
    <row r="164" spans="1:18" x14ac:dyDescent="0.25">
      <c r="A164" s="3">
        <v>160</v>
      </c>
      <c r="B164" s="4">
        <v>46276</v>
      </c>
      <c r="C164" s="3" t="s">
        <v>30</v>
      </c>
      <c r="D164" s="3" t="s">
        <v>19</v>
      </c>
      <c r="E164" s="3" t="s">
        <v>26</v>
      </c>
      <c r="F164" s="3">
        <v>269</v>
      </c>
      <c r="G164" s="3">
        <v>263</v>
      </c>
      <c r="H164" s="3">
        <v>6</v>
      </c>
      <c r="I164" s="5">
        <f t="shared" si="13"/>
        <v>2.2304832713754646E-2</v>
      </c>
      <c r="J164" s="6">
        <f t="shared" si="18"/>
        <v>22304.832713754648</v>
      </c>
      <c r="K164" s="7">
        <v>1.17</v>
      </c>
      <c r="L164" s="3">
        <v>397</v>
      </c>
      <c r="M164" s="3">
        <v>450</v>
      </c>
      <c r="N164" s="3">
        <v>53</v>
      </c>
      <c r="O164" s="5">
        <f t="shared" si="14"/>
        <v>0.88222222222222224</v>
      </c>
      <c r="P164" s="5">
        <f t="shared" si="15"/>
        <v>0.79277078085642305</v>
      </c>
      <c r="Q164" s="5">
        <f t="shared" si="16"/>
        <v>0.97769516728624539</v>
      </c>
      <c r="R164" s="5">
        <f t="shared" si="17"/>
        <v>0.68379999999999996</v>
      </c>
    </row>
    <row r="165" spans="1:18" x14ac:dyDescent="0.25">
      <c r="A165" s="3">
        <v>161</v>
      </c>
      <c r="B165" s="4">
        <v>46276</v>
      </c>
      <c r="C165" s="3" t="s">
        <v>30</v>
      </c>
      <c r="D165" s="3" t="s">
        <v>21</v>
      </c>
      <c r="E165" s="3" t="s">
        <v>34</v>
      </c>
      <c r="F165" s="3">
        <v>355</v>
      </c>
      <c r="G165" s="3">
        <v>344</v>
      </c>
      <c r="H165" s="3">
        <v>11</v>
      </c>
      <c r="I165" s="5">
        <f t="shared" si="13"/>
        <v>3.0985915492957747E-2</v>
      </c>
      <c r="J165" s="6">
        <f t="shared" si="18"/>
        <v>30985.915492957745</v>
      </c>
      <c r="K165" s="7">
        <v>0.92</v>
      </c>
      <c r="L165" s="3">
        <v>385</v>
      </c>
      <c r="M165" s="3">
        <v>450</v>
      </c>
      <c r="N165" s="3">
        <v>65</v>
      </c>
      <c r="O165" s="5">
        <f t="shared" si="14"/>
        <v>0.85555555555555551</v>
      </c>
      <c r="P165" s="5">
        <f t="shared" si="15"/>
        <v>0.84831168831168835</v>
      </c>
      <c r="Q165" s="5">
        <f t="shared" si="16"/>
        <v>0.96901408450704229</v>
      </c>
      <c r="R165" s="5">
        <f t="shared" si="17"/>
        <v>0.70328888888888885</v>
      </c>
    </row>
    <row r="166" spans="1:18" x14ac:dyDescent="0.25">
      <c r="A166" s="3">
        <v>162</v>
      </c>
      <c r="B166" s="4">
        <v>46276</v>
      </c>
      <c r="C166" s="3" t="s">
        <v>30</v>
      </c>
      <c r="D166" s="3" t="s">
        <v>23</v>
      </c>
      <c r="E166" s="3" t="s">
        <v>31</v>
      </c>
      <c r="F166" s="3">
        <v>259</v>
      </c>
      <c r="G166" s="3">
        <v>251</v>
      </c>
      <c r="H166" s="3">
        <v>8</v>
      </c>
      <c r="I166" s="5">
        <f t="shared" si="13"/>
        <v>3.0888030888030889E-2</v>
      </c>
      <c r="J166" s="6">
        <f t="shared" si="18"/>
        <v>30888.030888030888</v>
      </c>
      <c r="K166" s="7">
        <v>1.57</v>
      </c>
      <c r="L166" s="3">
        <v>419</v>
      </c>
      <c r="M166" s="3">
        <v>450</v>
      </c>
      <c r="N166" s="3">
        <v>31</v>
      </c>
      <c r="O166" s="5">
        <f t="shared" si="14"/>
        <v>0.93111111111111111</v>
      </c>
      <c r="P166" s="5">
        <f t="shared" si="15"/>
        <v>0.97047732696897371</v>
      </c>
      <c r="Q166" s="5">
        <f t="shared" si="16"/>
        <v>0.96911196911196906</v>
      </c>
      <c r="R166" s="5">
        <f t="shared" si="17"/>
        <v>0.87571111111111111</v>
      </c>
    </row>
    <row r="167" spans="1:18" x14ac:dyDescent="0.25">
      <c r="A167" s="3">
        <v>163</v>
      </c>
      <c r="B167" s="4">
        <v>46276</v>
      </c>
      <c r="C167" s="3" t="s">
        <v>33</v>
      </c>
      <c r="D167" s="3" t="s">
        <v>19</v>
      </c>
      <c r="E167" s="3" t="s">
        <v>27</v>
      </c>
      <c r="F167" s="3">
        <v>349</v>
      </c>
      <c r="G167" s="3">
        <v>340</v>
      </c>
      <c r="H167" s="3">
        <v>9</v>
      </c>
      <c r="I167" s="5">
        <f t="shared" si="13"/>
        <v>2.5787965616045846E-2</v>
      </c>
      <c r="J167" s="6">
        <f t="shared" si="18"/>
        <v>25787.965616045847</v>
      </c>
      <c r="K167" s="7">
        <v>1.1299999999999999</v>
      </c>
      <c r="L167" s="3">
        <v>411</v>
      </c>
      <c r="M167" s="3">
        <v>450</v>
      </c>
      <c r="N167" s="3">
        <v>39</v>
      </c>
      <c r="O167" s="5">
        <f t="shared" si="14"/>
        <v>0.91333333333333333</v>
      </c>
      <c r="P167" s="5">
        <f t="shared" si="15"/>
        <v>0.95953771289537704</v>
      </c>
      <c r="Q167" s="5">
        <f t="shared" si="16"/>
        <v>0.97421203438395421</v>
      </c>
      <c r="R167" s="5">
        <f t="shared" si="17"/>
        <v>0.85377777777777775</v>
      </c>
    </row>
    <row r="168" spans="1:18" x14ac:dyDescent="0.25">
      <c r="A168" s="3">
        <v>164</v>
      </c>
      <c r="B168" s="4">
        <v>46276</v>
      </c>
      <c r="C168" s="3" t="s">
        <v>33</v>
      </c>
      <c r="D168" s="3" t="s">
        <v>21</v>
      </c>
      <c r="E168" s="3" t="s">
        <v>26</v>
      </c>
      <c r="F168" s="3">
        <v>517</v>
      </c>
      <c r="G168" s="3">
        <v>495</v>
      </c>
      <c r="H168" s="3">
        <v>22</v>
      </c>
      <c r="I168" s="5">
        <f t="shared" si="13"/>
        <v>4.2553191489361701E-2</v>
      </c>
      <c r="J168" s="6">
        <f t="shared" si="18"/>
        <v>42553.191489361699</v>
      </c>
      <c r="K168" s="7">
        <v>0.74</v>
      </c>
      <c r="L168" s="3">
        <v>444</v>
      </c>
      <c r="M168" s="3">
        <v>450</v>
      </c>
      <c r="N168" s="3">
        <v>6</v>
      </c>
      <c r="O168" s="5">
        <f t="shared" si="14"/>
        <v>0.98666666666666669</v>
      </c>
      <c r="P168" s="5">
        <f t="shared" si="15"/>
        <v>0.86166666666666658</v>
      </c>
      <c r="Q168" s="5">
        <f t="shared" si="16"/>
        <v>0.95744680851063835</v>
      </c>
      <c r="R168" s="5">
        <f t="shared" si="17"/>
        <v>0.81399999999999995</v>
      </c>
    </row>
    <row r="169" spans="1:18" x14ac:dyDescent="0.25">
      <c r="A169" s="3">
        <v>165</v>
      </c>
      <c r="B169" s="4">
        <v>46276</v>
      </c>
      <c r="C169" s="3" t="s">
        <v>33</v>
      </c>
      <c r="D169" s="3" t="s">
        <v>23</v>
      </c>
      <c r="E169" s="3" t="s">
        <v>34</v>
      </c>
      <c r="F169" s="3">
        <v>302</v>
      </c>
      <c r="G169" s="3">
        <v>296</v>
      </c>
      <c r="H169" s="3">
        <v>6</v>
      </c>
      <c r="I169" s="5">
        <f t="shared" si="13"/>
        <v>1.9867549668874173E-2</v>
      </c>
      <c r="J169" s="6">
        <f t="shared" si="18"/>
        <v>19867.549668874173</v>
      </c>
      <c r="K169" s="7">
        <v>1.26</v>
      </c>
      <c r="L169" s="3">
        <v>408</v>
      </c>
      <c r="M169" s="3">
        <v>450</v>
      </c>
      <c r="N169" s="3">
        <v>42</v>
      </c>
      <c r="O169" s="5">
        <f t="shared" si="14"/>
        <v>0.90666666666666662</v>
      </c>
      <c r="P169" s="5">
        <f t="shared" si="15"/>
        <v>0.93264705882352938</v>
      </c>
      <c r="Q169" s="5">
        <f t="shared" si="16"/>
        <v>0.98013245033112584</v>
      </c>
      <c r="R169" s="5">
        <f t="shared" si="17"/>
        <v>0.82879999999999987</v>
      </c>
    </row>
    <row r="170" spans="1:18" x14ac:dyDescent="0.25">
      <c r="A170" s="3">
        <v>166</v>
      </c>
      <c r="B170" s="4">
        <v>46277</v>
      </c>
      <c r="C170" s="3" t="s">
        <v>18</v>
      </c>
      <c r="D170" s="3" t="s">
        <v>19</v>
      </c>
      <c r="E170" s="3" t="s">
        <v>24</v>
      </c>
      <c r="F170" s="3">
        <v>344</v>
      </c>
      <c r="G170" s="3">
        <v>337</v>
      </c>
      <c r="H170" s="3">
        <v>7</v>
      </c>
      <c r="I170" s="5">
        <f t="shared" si="13"/>
        <v>2.0348837209302327E-2</v>
      </c>
      <c r="J170" s="6">
        <f t="shared" si="18"/>
        <v>20348.837209302328</v>
      </c>
      <c r="K170" s="7">
        <v>1.03</v>
      </c>
      <c r="L170" s="3">
        <v>416</v>
      </c>
      <c r="M170" s="3">
        <v>450</v>
      </c>
      <c r="N170" s="3">
        <v>34</v>
      </c>
      <c r="O170" s="5">
        <f t="shared" si="14"/>
        <v>0.9244444444444444</v>
      </c>
      <c r="P170" s="5">
        <f t="shared" si="15"/>
        <v>0.85173076923076918</v>
      </c>
      <c r="Q170" s="5">
        <f t="shared" si="16"/>
        <v>0.97965116279069764</v>
      </c>
      <c r="R170" s="5">
        <f t="shared" si="17"/>
        <v>0.77135555555555546</v>
      </c>
    </row>
    <row r="171" spans="1:18" x14ac:dyDescent="0.25">
      <c r="A171" s="3">
        <v>167</v>
      </c>
      <c r="B171" s="4">
        <v>46277</v>
      </c>
      <c r="C171" s="3" t="s">
        <v>18</v>
      </c>
      <c r="D171" s="3" t="s">
        <v>21</v>
      </c>
      <c r="E171" s="3" t="s">
        <v>34</v>
      </c>
      <c r="F171" s="3">
        <v>281</v>
      </c>
      <c r="G171" s="3">
        <v>277</v>
      </c>
      <c r="H171" s="3">
        <v>4</v>
      </c>
      <c r="I171" s="5">
        <f t="shared" si="13"/>
        <v>1.4234875444839857E-2</v>
      </c>
      <c r="J171" s="6">
        <f t="shared" si="18"/>
        <v>14234.875444839858</v>
      </c>
      <c r="K171" s="7">
        <v>1.34</v>
      </c>
      <c r="L171" s="3">
        <v>385</v>
      </c>
      <c r="M171" s="3">
        <v>450</v>
      </c>
      <c r="N171" s="3">
        <v>65</v>
      </c>
      <c r="O171" s="5">
        <f t="shared" si="14"/>
        <v>0.85555555555555551</v>
      </c>
      <c r="P171" s="5">
        <f t="shared" si="15"/>
        <v>0.97802597402597413</v>
      </c>
      <c r="Q171" s="5">
        <f t="shared" si="16"/>
        <v>0.98576512455516019</v>
      </c>
      <c r="R171" s="5">
        <f t="shared" si="17"/>
        <v>0.82484444444444449</v>
      </c>
    </row>
    <row r="172" spans="1:18" x14ac:dyDescent="0.25">
      <c r="A172" s="3">
        <v>168</v>
      </c>
      <c r="B172" s="4">
        <v>46277</v>
      </c>
      <c r="C172" s="3" t="s">
        <v>18</v>
      </c>
      <c r="D172" s="3" t="s">
        <v>23</v>
      </c>
      <c r="E172" s="3" t="s">
        <v>24</v>
      </c>
      <c r="F172" s="3">
        <v>310</v>
      </c>
      <c r="G172" s="3">
        <v>301</v>
      </c>
      <c r="H172" s="3">
        <v>9</v>
      </c>
      <c r="I172" s="5">
        <f t="shared" si="13"/>
        <v>2.903225806451613E-2</v>
      </c>
      <c r="J172" s="6">
        <f t="shared" si="18"/>
        <v>29032.258064516129</v>
      </c>
      <c r="K172" s="7">
        <v>1.34</v>
      </c>
      <c r="L172" s="3">
        <v>443</v>
      </c>
      <c r="M172" s="3">
        <v>450</v>
      </c>
      <c r="N172" s="3">
        <v>7</v>
      </c>
      <c r="O172" s="5">
        <f t="shared" si="14"/>
        <v>0.98444444444444446</v>
      </c>
      <c r="P172" s="5">
        <f t="shared" si="15"/>
        <v>0.93769751693002268</v>
      </c>
      <c r="Q172" s="5">
        <f t="shared" si="16"/>
        <v>0.97096774193548385</v>
      </c>
      <c r="R172" s="5">
        <f t="shared" si="17"/>
        <v>0.89631111111111117</v>
      </c>
    </row>
    <row r="173" spans="1:18" x14ac:dyDescent="0.25">
      <c r="A173" s="3">
        <v>169</v>
      </c>
      <c r="B173" s="4">
        <v>46277</v>
      </c>
      <c r="C173" s="3" t="s">
        <v>25</v>
      </c>
      <c r="D173" s="3" t="s">
        <v>19</v>
      </c>
      <c r="E173" s="3" t="s">
        <v>22</v>
      </c>
      <c r="F173" s="3">
        <v>326</v>
      </c>
      <c r="G173" s="3">
        <v>315</v>
      </c>
      <c r="H173" s="3">
        <v>11</v>
      </c>
      <c r="I173" s="5">
        <f t="shared" si="13"/>
        <v>3.3742331288343558E-2</v>
      </c>
      <c r="J173" s="6">
        <f t="shared" si="18"/>
        <v>33742.331288343557</v>
      </c>
      <c r="K173" s="7">
        <v>1.23</v>
      </c>
      <c r="L173" s="3">
        <v>443</v>
      </c>
      <c r="M173" s="3">
        <v>450</v>
      </c>
      <c r="N173" s="3">
        <v>7</v>
      </c>
      <c r="O173" s="5">
        <f t="shared" si="14"/>
        <v>0.98444444444444446</v>
      </c>
      <c r="P173" s="5">
        <f t="shared" si="15"/>
        <v>0.90514672686230258</v>
      </c>
      <c r="Q173" s="5">
        <f t="shared" si="16"/>
        <v>0.96625766871165641</v>
      </c>
      <c r="R173" s="5">
        <f t="shared" si="17"/>
        <v>0.8610000000000001</v>
      </c>
    </row>
    <row r="174" spans="1:18" x14ac:dyDescent="0.25">
      <c r="A174" s="3">
        <v>170</v>
      </c>
      <c r="B174" s="4">
        <v>46277</v>
      </c>
      <c r="C174" s="3" t="s">
        <v>25</v>
      </c>
      <c r="D174" s="3" t="s">
        <v>21</v>
      </c>
      <c r="E174" s="3" t="s">
        <v>34</v>
      </c>
      <c r="F174" s="3">
        <v>237</v>
      </c>
      <c r="G174" s="3">
        <v>233</v>
      </c>
      <c r="H174" s="3">
        <v>4</v>
      </c>
      <c r="I174" s="5">
        <f t="shared" si="13"/>
        <v>1.6877637130801686E-2</v>
      </c>
      <c r="J174" s="6">
        <f t="shared" si="18"/>
        <v>16877.637130801686</v>
      </c>
      <c r="K174" s="7">
        <v>1.37</v>
      </c>
      <c r="L174" s="3">
        <v>387</v>
      </c>
      <c r="M174" s="3">
        <v>450</v>
      </c>
      <c r="N174" s="3">
        <v>63</v>
      </c>
      <c r="O174" s="5">
        <f t="shared" si="14"/>
        <v>0.86</v>
      </c>
      <c r="P174" s="5">
        <f t="shared" si="15"/>
        <v>0.83899224806201544</v>
      </c>
      <c r="Q174" s="5">
        <f t="shared" si="16"/>
        <v>0.9831223628691983</v>
      </c>
      <c r="R174" s="5">
        <f t="shared" si="17"/>
        <v>0.70935555555555541</v>
      </c>
    </row>
    <row r="175" spans="1:18" x14ac:dyDescent="0.25">
      <c r="A175" s="3">
        <v>171</v>
      </c>
      <c r="B175" s="4">
        <v>46277</v>
      </c>
      <c r="C175" s="3" t="s">
        <v>25</v>
      </c>
      <c r="D175" s="3" t="s">
        <v>23</v>
      </c>
      <c r="E175" s="3" t="s">
        <v>24</v>
      </c>
      <c r="F175" s="3">
        <v>376</v>
      </c>
      <c r="G175" s="3">
        <v>369</v>
      </c>
      <c r="H175" s="3">
        <v>7</v>
      </c>
      <c r="I175" s="5">
        <f t="shared" si="13"/>
        <v>1.8617021276595744E-2</v>
      </c>
      <c r="J175" s="6">
        <f t="shared" si="18"/>
        <v>18617.021276595744</v>
      </c>
      <c r="K175" s="7">
        <v>0.96</v>
      </c>
      <c r="L175" s="3">
        <v>415</v>
      </c>
      <c r="M175" s="3">
        <v>450</v>
      </c>
      <c r="N175" s="3">
        <v>35</v>
      </c>
      <c r="O175" s="5">
        <f t="shared" si="14"/>
        <v>0.92222222222222228</v>
      </c>
      <c r="P175" s="5">
        <f t="shared" si="15"/>
        <v>0.86978313253012041</v>
      </c>
      <c r="Q175" s="5">
        <f t="shared" si="16"/>
        <v>0.9813829787234043</v>
      </c>
      <c r="R175" s="5">
        <f t="shared" si="17"/>
        <v>0.78720000000000001</v>
      </c>
    </row>
    <row r="176" spans="1:18" x14ac:dyDescent="0.25">
      <c r="A176" s="3">
        <v>172</v>
      </c>
      <c r="B176" s="4">
        <v>46277</v>
      </c>
      <c r="C176" s="3" t="s">
        <v>28</v>
      </c>
      <c r="D176" s="3" t="s">
        <v>19</v>
      </c>
      <c r="E176" s="3" t="s">
        <v>29</v>
      </c>
      <c r="F176" s="3">
        <v>291</v>
      </c>
      <c r="G176" s="3">
        <v>280</v>
      </c>
      <c r="H176" s="3">
        <v>11</v>
      </c>
      <c r="I176" s="5">
        <f t="shared" si="13"/>
        <v>3.7800687285223365E-2</v>
      </c>
      <c r="J176" s="6">
        <f t="shared" si="18"/>
        <v>37800.687285223365</v>
      </c>
      <c r="K176" s="7">
        <v>1.23</v>
      </c>
      <c r="L176" s="3">
        <v>429</v>
      </c>
      <c r="M176" s="3">
        <v>450</v>
      </c>
      <c r="N176" s="3">
        <v>21</v>
      </c>
      <c r="O176" s="5">
        <f t="shared" si="14"/>
        <v>0.95333333333333337</v>
      </c>
      <c r="P176" s="5">
        <f t="shared" si="15"/>
        <v>0.83433566433566431</v>
      </c>
      <c r="Q176" s="5">
        <f t="shared" si="16"/>
        <v>0.96219931271477666</v>
      </c>
      <c r="R176" s="5">
        <f t="shared" si="17"/>
        <v>0.76533333333333331</v>
      </c>
    </row>
    <row r="177" spans="1:18" x14ac:dyDescent="0.25">
      <c r="A177" s="3">
        <v>173</v>
      </c>
      <c r="B177" s="4">
        <v>46277</v>
      </c>
      <c r="C177" s="3" t="s">
        <v>28</v>
      </c>
      <c r="D177" s="3" t="s">
        <v>21</v>
      </c>
      <c r="E177" s="3" t="s">
        <v>27</v>
      </c>
      <c r="F177" s="3">
        <v>330</v>
      </c>
      <c r="G177" s="3">
        <v>322</v>
      </c>
      <c r="H177" s="3">
        <v>8</v>
      </c>
      <c r="I177" s="5">
        <f t="shared" si="13"/>
        <v>2.4242424242424242E-2</v>
      </c>
      <c r="J177" s="6">
        <f t="shared" si="18"/>
        <v>24242.424242424244</v>
      </c>
      <c r="K177" s="7">
        <v>0.98</v>
      </c>
      <c r="L177" s="3">
        <v>405</v>
      </c>
      <c r="M177" s="3">
        <v>450</v>
      </c>
      <c r="N177" s="3">
        <v>45</v>
      </c>
      <c r="O177" s="5">
        <f t="shared" si="14"/>
        <v>0.9</v>
      </c>
      <c r="P177" s="5">
        <f t="shared" si="15"/>
        <v>0.79851851851851852</v>
      </c>
      <c r="Q177" s="5">
        <f t="shared" si="16"/>
        <v>0.97575757575757571</v>
      </c>
      <c r="R177" s="5">
        <f t="shared" si="17"/>
        <v>0.70124444444444445</v>
      </c>
    </row>
    <row r="178" spans="1:18" x14ac:dyDescent="0.25">
      <c r="A178" s="3">
        <v>174</v>
      </c>
      <c r="B178" s="4">
        <v>46277</v>
      </c>
      <c r="C178" s="3" t="s">
        <v>28</v>
      </c>
      <c r="D178" s="3" t="s">
        <v>23</v>
      </c>
      <c r="E178" s="3" t="s">
        <v>20</v>
      </c>
      <c r="F178" s="3">
        <v>978</v>
      </c>
      <c r="G178" s="3">
        <v>961</v>
      </c>
      <c r="H178" s="3">
        <v>17</v>
      </c>
      <c r="I178" s="5">
        <f t="shared" si="13"/>
        <v>1.7382413087934562E-2</v>
      </c>
      <c r="J178" s="6">
        <f t="shared" si="18"/>
        <v>17382.413087934561</v>
      </c>
      <c r="K178" s="7">
        <v>0.39</v>
      </c>
      <c r="L178" s="3">
        <v>402</v>
      </c>
      <c r="M178" s="3">
        <v>450</v>
      </c>
      <c r="N178" s="3">
        <v>48</v>
      </c>
      <c r="O178" s="5">
        <f t="shared" si="14"/>
        <v>0.89333333333333331</v>
      </c>
      <c r="P178" s="5">
        <f t="shared" si="15"/>
        <v>0.94880597014925372</v>
      </c>
      <c r="Q178" s="5">
        <f t="shared" si="16"/>
        <v>0.98261758691206547</v>
      </c>
      <c r="R178" s="5">
        <f t="shared" si="17"/>
        <v>0.83286666666666676</v>
      </c>
    </row>
    <row r="179" spans="1:18" x14ac:dyDescent="0.25">
      <c r="A179" s="3">
        <v>175</v>
      </c>
      <c r="B179" s="4">
        <v>46277</v>
      </c>
      <c r="C179" s="3" t="s">
        <v>30</v>
      </c>
      <c r="D179" s="3" t="s">
        <v>19</v>
      </c>
      <c r="E179" s="3" t="s">
        <v>34</v>
      </c>
      <c r="F179" s="3">
        <v>219</v>
      </c>
      <c r="G179" s="3">
        <v>216</v>
      </c>
      <c r="H179" s="3">
        <v>3</v>
      </c>
      <c r="I179" s="5">
        <f t="shared" si="13"/>
        <v>1.3698630136986301E-2</v>
      </c>
      <c r="J179" s="6">
        <f t="shared" si="18"/>
        <v>13698.630136986301</v>
      </c>
      <c r="K179" s="7">
        <v>1.73</v>
      </c>
      <c r="L179" s="3">
        <v>412</v>
      </c>
      <c r="M179" s="3">
        <v>450</v>
      </c>
      <c r="N179" s="3">
        <v>38</v>
      </c>
      <c r="O179" s="5">
        <f t="shared" si="14"/>
        <v>0.91555555555555557</v>
      </c>
      <c r="P179" s="5">
        <f t="shared" si="15"/>
        <v>0.91958737864077666</v>
      </c>
      <c r="Q179" s="5">
        <f t="shared" si="16"/>
        <v>0.98630136986301364</v>
      </c>
      <c r="R179" s="5">
        <f t="shared" si="17"/>
        <v>0.83039999999999992</v>
      </c>
    </row>
    <row r="180" spans="1:18" x14ac:dyDescent="0.25">
      <c r="A180" s="3">
        <v>176</v>
      </c>
      <c r="B180" s="4">
        <v>46277</v>
      </c>
      <c r="C180" s="3" t="s">
        <v>30</v>
      </c>
      <c r="D180" s="3" t="s">
        <v>21</v>
      </c>
      <c r="E180" s="3" t="s">
        <v>35</v>
      </c>
      <c r="F180" s="3">
        <v>305</v>
      </c>
      <c r="G180" s="3">
        <v>299</v>
      </c>
      <c r="H180" s="3">
        <v>6</v>
      </c>
      <c r="I180" s="5">
        <f t="shared" si="13"/>
        <v>1.9672131147540985E-2</v>
      </c>
      <c r="J180" s="6">
        <f t="shared" si="18"/>
        <v>19672.131147540986</v>
      </c>
      <c r="K180" s="7">
        <v>1.25</v>
      </c>
      <c r="L180" s="3">
        <v>426</v>
      </c>
      <c r="M180" s="3">
        <v>450</v>
      </c>
      <c r="N180" s="3">
        <v>24</v>
      </c>
      <c r="O180" s="5">
        <f t="shared" si="14"/>
        <v>0.94666666666666666</v>
      </c>
      <c r="P180" s="5">
        <f t="shared" si="15"/>
        <v>0.8949530516431925</v>
      </c>
      <c r="Q180" s="5">
        <f t="shared" si="16"/>
        <v>0.98032786885245904</v>
      </c>
      <c r="R180" s="5">
        <f t="shared" si="17"/>
        <v>0.8305555555555556</v>
      </c>
    </row>
    <row r="181" spans="1:18" x14ac:dyDescent="0.25">
      <c r="A181" s="3">
        <v>177</v>
      </c>
      <c r="B181" s="4">
        <v>46277</v>
      </c>
      <c r="C181" s="3" t="s">
        <v>30</v>
      </c>
      <c r="D181" s="3" t="s">
        <v>23</v>
      </c>
      <c r="E181" s="3" t="s">
        <v>31</v>
      </c>
      <c r="F181" s="3">
        <v>543</v>
      </c>
      <c r="G181" s="3">
        <v>519</v>
      </c>
      <c r="H181" s="3">
        <v>24</v>
      </c>
      <c r="I181" s="5">
        <f t="shared" si="13"/>
        <v>4.4198895027624308E-2</v>
      </c>
      <c r="J181" s="6">
        <f t="shared" si="18"/>
        <v>44198.895027624305</v>
      </c>
      <c r="K181" s="7">
        <v>0.65</v>
      </c>
      <c r="L181" s="3">
        <v>436</v>
      </c>
      <c r="M181" s="3">
        <v>450</v>
      </c>
      <c r="N181" s="3">
        <v>14</v>
      </c>
      <c r="O181" s="5">
        <f t="shared" si="14"/>
        <v>0.96888888888888891</v>
      </c>
      <c r="P181" s="5">
        <f t="shared" si="15"/>
        <v>0.80951834862385319</v>
      </c>
      <c r="Q181" s="5">
        <f t="shared" si="16"/>
        <v>0.95580110497237569</v>
      </c>
      <c r="R181" s="5">
        <f t="shared" si="17"/>
        <v>0.7496666666666667</v>
      </c>
    </row>
    <row r="182" spans="1:18" x14ac:dyDescent="0.25">
      <c r="A182" s="3">
        <v>178</v>
      </c>
      <c r="B182" s="4">
        <v>46277</v>
      </c>
      <c r="C182" s="3" t="s">
        <v>33</v>
      </c>
      <c r="D182" s="3" t="s">
        <v>19</v>
      </c>
      <c r="E182" s="3" t="s">
        <v>24</v>
      </c>
      <c r="F182" s="3">
        <v>360</v>
      </c>
      <c r="G182" s="3">
        <v>345</v>
      </c>
      <c r="H182" s="3">
        <v>15</v>
      </c>
      <c r="I182" s="5">
        <f t="shared" si="13"/>
        <v>4.1666666666666664E-2</v>
      </c>
      <c r="J182" s="6">
        <f t="shared" si="18"/>
        <v>41666.666666666664</v>
      </c>
      <c r="K182" s="7">
        <v>0.95</v>
      </c>
      <c r="L182" s="3">
        <v>439</v>
      </c>
      <c r="M182" s="3">
        <v>450</v>
      </c>
      <c r="N182" s="3">
        <v>11</v>
      </c>
      <c r="O182" s="5">
        <f t="shared" si="14"/>
        <v>0.97555555555555551</v>
      </c>
      <c r="P182" s="5">
        <f t="shared" si="15"/>
        <v>0.77904328018223234</v>
      </c>
      <c r="Q182" s="5">
        <f t="shared" si="16"/>
        <v>0.95833333333333337</v>
      </c>
      <c r="R182" s="5">
        <f t="shared" si="17"/>
        <v>0.72833333333333339</v>
      </c>
    </row>
    <row r="183" spans="1:18" x14ac:dyDescent="0.25">
      <c r="A183" s="3">
        <v>179</v>
      </c>
      <c r="B183" s="4">
        <v>46277</v>
      </c>
      <c r="C183" s="3" t="s">
        <v>33</v>
      </c>
      <c r="D183" s="3" t="s">
        <v>21</v>
      </c>
      <c r="E183" s="3" t="s">
        <v>32</v>
      </c>
      <c r="F183" s="3">
        <v>999</v>
      </c>
      <c r="G183" s="3">
        <v>958</v>
      </c>
      <c r="H183" s="3">
        <v>41</v>
      </c>
      <c r="I183" s="5">
        <f t="shared" si="13"/>
        <v>4.1041041041041039E-2</v>
      </c>
      <c r="J183" s="6">
        <f t="shared" si="18"/>
        <v>41041.04104104104</v>
      </c>
      <c r="K183" s="7">
        <v>0.38</v>
      </c>
      <c r="L183" s="3">
        <v>396</v>
      </c>
      <c r="M183" s="3">
        <v>450</v>
      </c>
      <c r="N183" s="3">
        <v>54</v>
      </c>
      <c r="O183" s="5">
        <f t="shared" si="14"/>
        <v>0.88</v>
      </c>
      <c r="P183" s="5">
        <f t="shared" si="15"/>
        <v>0.95863636363636362</v>
      </c>
      <c r="Q183" s="5">
        <f t="shared" si="16"/>
        <v>0.958958958958959</v>
      </c>
      <c r="R183" s="5">
        <f t="shared" si="17"/>
        <v>0.8089777777777778</v>
      </c>
    </row>
    <row r="184" spans="1:18" x14ac:dyDescent="0.25">
      <c r="A184" s="3">
        <v>180</v>
      </c>
      <c r="B184" s="4">
        <v>46277</v>
      </c>
      <c r="C184" s="3" t="s">
        <v>33</v>
      </c>
      <c r="D184" s="3" t="s">
        <v>23</v>
      </c>
      <c r="E184" s="3" t="s">
        <v>24</v>
      </c>
      <c r="F184" s="3">
        <v>272</v>
      </c>
      <c r="G184" s="3">
        <v>260</v>
      </c>
      <c r="H184" s="3">
        <v>12</v>
      </c>
      <c r="I184" s="5">
        <f t="shared" si="13"/>
        <v>4.4117647058823532E-2</v>
      </c>
      <c r="J184" s="6">
        <f t="shared" si="18"/>
        <v>44117.647058823532</v>
      </c>
      <c r="K184" s="7">
        <v>1.38</v>
      </c>
      <c r="L184" s="3">
        <v>420</v>
      </c>
      <c r="M184" s="3">
        <v>450</v>
      </c>
      <c r="N184" s="3">
        <v>30</v>
      </c>
      <c r="O184" s="5">
        <f t="shared" si="14"/>
        <v>0.93333333333333335</v>
      </c>
      <c r="P184" s="5">
        <f t="shared" si="15"/>
        <v>0.89371428571428557</v>
      </c>
      <c r="Q184" s="5">
        <f t="shared" si="16"/>
        <v>0.95588235294117652</v>
      </c>
      <c r="R184" s="5">
        <f t="shared" si="17"/>
        <v>0.79733333333333323</v>
      </c>
    </row>
    <row r="185" spans="1:18" x14ac:dyDescent="0.25">
      <c r="A185" s="3">
        <v>181</v>
      </c>
      <c r="B185" s="4">
        <v>46278</v>
      </c>
      <c r="C185" s="3" t="s">
        <v>18</v>
      </c>
      <c r="D185" s="3" t="s">
        <v>19</v>
      </c>
      <c r="E185" s="3" t="s">
        <v>34</v>
      </c>
      <c r="F185" s="3">
        <v>992</v>
      </c>
      <c r="G185" s="3">
        <v>950</v>
      </c>
      <c r="H185" s="3">
        <v>42</v>
      </c>
      <c r="I185" s="5">
        <f t="shared" si="13"/>
        <v>4.2338709677419352E-2</v>
      </c>
      <c r="J185" s="6">
        <f t="shared" si="18"/>
        <v>42338.709677419349</v>
      </c>
      <c r="K185" s="7">
        <v>0.41</v>
      </c>
      <c r="L185" s="3">
        <v>410</v>
      </c>
      <c r="M185" s="3">
        <v>450</v>
      </c>
      <c r="N185" s="3">
        <v>40</v>
      </c>
      <c r="O185" s="5">
        <f t="shared" si="14"/>
        <v>0.91111111111111109</v>
      </c>
      <c r="P185" s="5">
        <f t="shared" si="15"/>
        <v>0.99199999999999988</v>
      </c>
      <c r="Q185" s="5">
        <f t="shared" si="16"/>
        <v>0.95766129032258063</v>
      </c>
      <c r="R185" s="5">
        <f t="shared" si="17"/>
        <v>0.86555555555555541</v>
      </c>
    </row>
    <row r="186" spans="1:18" x14ac:dyDescent="0.25">
      <c r="A186" s="3">
        <v>182</v>
      </c>
      <c r="B186" s="4">
        <v>46278</v>
      </c>
      <c r="C186" s="3" t="s">
        <v>18</v>
      </c>
      <c r="D186" s="3" t="s">
        <v>21</v>
      </c>
      <c r="E186" s="3" t="s">
        <v>24</v>
      </c>
      <c r="F186" s="3">
        <v>436</v>
      </c>
      <c r="G186" s="3">
        <v>423</v>
      </c>
      <c r="H186" s="3">
        <v>13</v>
      </c>
      <c r="I186" s="5">
        <f t="shared" si="13"/>
        <v>2.9816513761467892E-2</v>
      </c>
      <c r="J186" s="6">
        <f t="shared" si="18"/>
        <v>29816.513761467893</v>
      </c>
      <c r="K186" s="7">
        <v>0.72</v>
      </c>
      <c r="L186" s="3">
        <v>385</v>
      </c>
      <c r="M186" s="3">
        <v>450</v>
      </c>
      <c r="N186" s="3">
        <v>65</v>
      </c>
      <c r="O186" s="5">
        <f t="shared" si="14"/>
        <v>0.85555555555555551</v>
      </c>
      <c r="P186" s="5">
        <f t="shared" si="15"/>
        <v>0.81537662337662342</v>
      </c>
      <c r="Q186" s="5">
        <f t="shared" si="16"/>
        <v>0.97018348623853212</v>
      </c>
      <c r="R186" s="5">
        <f t="shared" si="17"/>
        <v>0.67679999999999996</v>
      </c>
    </row>
    <row r="187" spans="1:18" x14ac:dyDescent="0.25">
      <c r="A187" s="3">
        <v>183</v>
      </c>
      <c r="B187" s="4">
        <v>46278</v>
      </c>
      <c r="C187" s="3" t="s">
        <v>18</v>
      </c>
      <c r="D187" s="3" t="s">
        <v>23</v>
      </c>
      <c r="E187" s="3" t="s">
        <v>26</v>
      </c>
      <c r="F187" s="3">
        <v>369</v>
      </c>
      <c r="G187" s="3">
        <v>358</v>
      </c>
      <c r="H187" s="3">
        <v>11</v>
      </c>
      <c r="I187" s="5">
        <f t="shared" si="13"/>
        <v>2.9810298102981029E-2</v>
      </c>
      <c r="J187" s="6">
        <f t="shared" si="18"/>
        <v>29810.298102981029</v>
      </c>
      <c r="K187" s="7">
        <v>1.1000000000000001</v>
      </c>
      <c r="L187" s="3">
        <v>402</v>
      </c>
      <c r="M187" s="3">
        <v>450</v>
      </c>
      <c r="N187" s="3">
        <v>48</v>
      </c>
      <c r="O187" s="5">
        <f t="shared" si="14"/>
        <v>0.89333333333333331</v>
      </c>
      <c r="P187" s="5">
        <f t="shared" si="15"/>
        <v>1.0097014925373136</v>
      </c>
      <c r="Q187" s="5">
        <f t="shared" si="16"/>
        <v>0.97018970189701892</v>
      </c>
      <c r="R187" s="5">
        <f t="shared" si="17"/>
        <v>0.87511111111111117</v>
      </c>
    </row>
    <row r="188" spans="1:18" x14ac:dyDescent="0.25">
      <c r="A188" s="3">
        <v>184</v>
      </c>
      <c r="B188" s="4">
        <v>46278</v>
      </c>
      <c r="C188" s="3" t="s">
        <v>25</v>
      </c>
      <c r="D188" s="3" t="s">
        <v>19</v>
      </c>
      <c r="E188" s="3" t="s">
        <v>32</v>
      </c>
      <c r="F188" s="3">
        <v>455</v>
      </c>
      <c r="G188" s="3">
        <v>451</v>
      </c>
      <c r="H188" s="3">
        <v>4</v>
      </c>
      <c r="I188" s="5">
        <f t="shared" si="13"/>
        <v>8.7912087912087912E-3</v>
      </c>
      <c r="J188" s="6">
        <f t="shared" si="18"/>
        <v>8791.2087912087918</v>
      </c>
      <c r="K188" s="7">
        <v>0.8</v>
      </c>
      <c r="L188" s="3">
        <v>414</v>
      </c>
      <c r="M188" s="3">
        <v>450</v>
      </c>
      <c r="N188" s="3">
        <v>36</v>
      </c>
      <c r="O188" s="5">
        <f t="shared" si="14"/>
        <v>0.92</v>
      </c>
      <c r="P188" s="5">
        <f t="shared" si="15"/>
        <v>0.87922705314009664</v>
      </c>
      <c r="Q188" s="5">
        <f t="shared" si="16"/>
        <v>0.99120879120879124</v>
      </c>
      <c r="R188" s="5">
        <f t="shared" si="17"/>
        <v>0.80177777777777792</v>
      </c>
    </row>
    <row r="189" spans="1:18" x14ac:dyDescent="0.25">
      <c r="A189" s="3">
        <v>185</v>
      </c>
      <c r="B189" s="4">
        <v>46278</v>
      </c>
      <c r="C189" s="3" t="s">
        <v>25</v>
      </c>
      <c r="D189" s="3" t="s">
        <v>21</v>
      </c>
      <c r="E189" s="3" t="s">
        <v>34</v>
      </c>
      <c r="F189" s="3">
        <v>653</v>
      </c>
      <c r="G189" s="3">
        <v>632</v>
      </c>
      <c r="H189" s="3">
        <v>21</v>
      </c>
      <c r="I189" s="5">
        <f t="shared" si="13"/>
        <v>3.2159264931087291E-2</v>
      </c>
      <c r="J189" s="6">
        <f t="shared" si="18"/>
        <v>32159.264931087291</v>
      </c>
      <c r="K189" s="7">
        <v>0.63</v>
      </c>
      <c r="L189" s="3">
        <v>419</v>
      </c>
      <c r="M189" s="3">
        <v>450</v>
      </c>
      <c r="N189" s="3">
        <v>31</v>
      </c>
      <c r="O189" s="5">
        <f t="shared" si="14"/>
        <v>0.93111111111111111</v>
      </c>
      <c r="P189" s="5">
        <f t="shared" si="15"/>
        <v>0.98183770883054888</v>
      </c>
      <c r="Q189" s="5">
        <f t="shared" si="16"/>
        <v>0.96784073506891266</v>
      </c>
      <c r="R189" s="5">
        <f t="shared" si="17"/>
        <v>0.88479999999999992</v>
      </c>
    </row>
    <row r="190" spans="1:18" x14ac:dyDescent="0.25">
      <c r="A190" s="3">
        <v>186</v>
      </c>
      <c r="B190" s="4">
        <v>46278</v>
      </c>
      <c r="C190" s="3" t="s">
        <v>25</v>
      </c>
      <c r="D190" s="3" t="s">
        <v>23</v>
      </c>
      <c r="E190" s="3" t="s">
        <v>20</v>
      </c>
      <c r="F190" s="3">
        <v>340</v>
      </c>
      <c r="G190" s="3">
        <v>329</v>
      </c>
      <c r="H190" s="3">
        <v>11</v>
      </c>
      <c r="I190" s="5">
        <f t="shared" si="13"/>
        <v>3.2352941176470591E-2</v>
      </c>
      <c r="J190" s="6">
        <f t="shared" si="18"/>
        <v>32352.941176470591</v>
      </c>
      <c r="K190" s="7">
        <v>1.1200000000000001</v>
      </c>
      <c r="L190" s="3">
        <v>437</v>
      </c>
      <c r="M190" s="3">
        <v>450</v>
      </c>
      <c r="N190" s="3">
        <v>13</v>
      </c>
      <c r="O190" s="5">
        <f t="shared" si="14"/>
        <v>0.97111111111111115</v>
      </c>
      <c r="P190" s="5">
        <f t="shared" si="15"/>
        <v>0.87139588100686505</v>
      </c>
      <c r="Q190" s="5">
        <f t="shared" si="16"/>
        <v>0.96764705882352942</v>
      </c>
      <c r="R190" s="5">
        <f t="shared" si="17"/>
        <v>0.8188444444444446</v>
      </c>
    </row>
    <row r="191" spans="1:18" x14ac:dyDescent="0.25">
      <c r="A191" s="3">
        <v>187</v>
      </c>
      <c r="B191" s="4">
        <v>46278</v>
      </c>
      <c r="C191" s="3" t="s">
        <v>28</v>
      </c>
      <c r="D191" s="3" t="s">
        <v>19</v>
      </c>
      <c r="E191" s="3" t="s">
        <v>26</v>
      </c>
      <c r="F191" s="3">
        <v>250</v>
      </c>
      <c r="G191" s="3">
        <v>241</v>
      </c>
      <c r="H191" s="3">
        <v>9</v>
      </c>
      <c r="I191" s="5">
        <f t="shared" si="13"/>
        <v>3.5999999999999997E-2</v>
      </c>
      <c r="J191" s="6">
        <f t="shared" si="18"/>
        <v>36000</v>
      </c>
      <c r="K191" s="7">
        <v>1.53</v>
      </c>
      <c r="L191" s="3">
        <v>418</v>
      </c>
      <c r="M191" s="3">
        <v>450</v>
      </c>
      <c r="N191" s="3">
        <v>32</v>
      </c>
      <c r="O191" s="5">
        <f t="shared" si="14"/>
        <v>0.92888888888888888</v>
      </c>
      <c r="P191" s="5">
        <f t="shared" si="15"/>
        <v>0.91507177033492826</v>
      </c>
      <c r="Q191" s="5">
        <f t="shared" si="16"/>
        <v>0.96399999999999997</v>
      </c>
      <c r="R191" s="5">
        <f t="shared" si="17"/>
        <v>0.81939999999999991</v>
      </c>
    </row>
    <row r="192" spans="1:18" x14ac:dyDescent="0.25">
      <c r="A192" s="3">
        <v>188</v>
      </c>
      <c r="B192" s="4">
        <v>46278</v>
      </c>
      <c r="C192" s="3" t="s">
        <v>28</v>
      </c>
      <c r="D192" s="3" t="s">
        <v>21</v>
      </c>
      <c r="E192" s="3" t="s">
        <v>32</v>
      </c>
      <c r="F192" s="3">
        <v>323</v>
      </c>
      <c r="G192" s="3">
        <v>310</v>
      </c>
      <c r="H192" s="3">
        <v>13</v>
      </c>
      <c r="I192" s="5">
        <f t="shared" si="13"/>
        <v>4.0247678018575851E-2</v>
      </c>
      <c r="J192" s="6">
        <f t="shared" si="18"/>
        <v>40247.678018575854</v>
      </c>
      <c r="K192" s="7">
        <v>1.0900000000000001</v>
      </c>
      <c r="L192" s="3">
        <v>392</v>
      </c>
      <c r="M192" s="3">
        <v>450</v>
      </c>
      <c r="N192" s="3">
        <v>58</v>
      </c>
      <c r="O192" s="5">
        <f t="shared" si="14"/>
        <v>0.87111111111111106</v>
      </c>
      <c r="P192" s="5">
        <f t="shared" si="15"/>
        <v>0.89813775510204097</v>
      </c>
      <c r="Q192" s="5">
        <f t="shared" si="16"/>
        <v>0.95975232198142413</v>
      </c>
      <c r="R192" s="5">
        <f t="shared" si="17"/>
        <v>0.75088888888888894</v>
      </c>
    </row>
    <row r="193" spans="1:18" x14ac:dyDescent="0.25">
      <c r="A193" s="3">
        <v>189</v>
      </c>
      <c r="B193" s="4">
        <v>46278</v>
      </c>
      <c r="C193" s="3" t="s">
        <v>28</v>
      </c>
      <c r="D193" s="3" t="s">
        <v>23</v>
      </c>
      <c r="E193" s="3" t="s">
        <v>31</v>
      </c>
      <c r="F193" s="3">
        <v>387</v>
      </c>
      <c r="G193" s="3">
        <v>377</v>
      </c>
      <c r="H193" s="3">
        <v>10</v>
      </c>
      <c r="I193" s="5">
        <f t="shared" si="13"/>
        <v>2.5839793281653745E-2</v>
      </c>
      <c r="J193" s="6">
        <f t="shared" si="18"/>
        <v>25839.793281653747</v>
      </c>
      <c r="K193" s="7">
        <v>0.91</v>
      </c>
      <c r="L193" s="3">
        <v>412</v>
      </c>
      <c r="M193" s="3">
        <v>450</v>
      </c>
      <c r="N193" s="3">
        <v>38</v>
      </c>
      <c r="O193" s="5">
        <f t="shared" si="14"/>
        <v>0.91555555555555557</v>
      </c>
      <c r="P193" s="5">
        <f t="shared" si="15"/>
        <v>0.85478155339805828</v>
      </c>
      <c r="Q193" s="5">
        <f t="shared" si="16"/>
        <v>0.97416020671834624</v>
      </c>
      <c r="R193" s="5">
        <f t="shared" si="17"/>
        <v>0.76237777777777782</v>
      </c>
    </row>
    <row r="194" spans="1:18" x14ac:dyDescent="0.25">
      <c r="A194" s="3">
        <v>190</v>
      </c>
      <c r="B194" s="4">
        <v>46278</v>
      </c>
      <c r="C194" s="3" t="s">
        <v>30</v>
      </c>
      <c r="D194" s="3" t="s">
        <v>19</v>
      </c>
      <c r="E194" s="3" t="s">
        <v>35</v>
      </c>
      <c r="F194" s="3">
        <v>349</v>
      </c>
      <c r="G194" s="3">
        <v>342</v>
      </c>
      <c r="H194" s="3">
        <v>7</v>
      </c>
      <c r="I194" s="5">
        <f t="shared" si="13"/>
        <v>2.0057306590257881E-2</v>
      </c>
      <c r="J194" s="6">
        <f t="shared" si="18"/>
        <v>20057.306590257882</v>
      </c>
      <c r="K194" s="7">
        <v>1.1399999999999999</v>
      </c>
      <c r="L194" s="3">
        <v>421</v>
      </c>
      <c r="M194" s="3">
        <v>450</v>
      </c>
      <c r="N194" s="3">
        <v>29</v>
      </c>
      <c r="O194" s="5">
        <f t="shared" si="14"/>
        <v>0.93555555555555558</v>
      </c>
      <c r="P194" s="5">
        <f t="shared" si="15"/>
        <v>0.94503562945368158</v>
      </c>
      <c r="Q194" s="5">
        <f t="shared" si="16"/>
        <v>0.97994269340974216</v>
      </c>
      <c r="R194" s="5">
        <f t="shared" si="17"/>
        <v>0.86639999999999995</v>
      </c>
    </row>
    <row r="195" spans="1:18" x14ac:dyDescent="0.25">
      <c r="A195" s="3">
        <v>191</v>
      </c>
      <c r="B195" s="4">
        <v>46278</v>
      </c>
      <c r="C195" s="3" t="s">
        <v>30</v>
      </c>
      <c r="D195" s="3" t="s">
        <v>21</v>
      </c>
      <c r="E195" s="3" t="s">
        <v>31</v>
      </c>
      <c r="F195" s="3">
        <v>508</v>
      </c>
      <c r="G195" s="3">
        <v>487</v>
      </c>
      <c r="H195" s="3">
        <v>21</v>
      </c>
      <c r="I195" s="5">
        <f t="shared" si="13"/>
        <v>4.1338582677165357E-2</v>
      </c>
      <c r="J195" s="6">
        <f t="shared" si="18"/>
        <v>41338.582677165359</v>
      </c>
      <c r="K195" s="7">
        <v>0.67</v>
      </c>
      <c r="L195" s="3">
        <v>393</v>
      </c>
      <c r="M195" s="3">
        <v>450</v>
      </c>
      <c r="N195" s="3">
        <v>57</v>
      </c>
      <c r="O195" s="5">
        <f t="shared" si="14"/>
        <v>0.87333333333333329</v>
      </c>
      <c r="P195" s="5">
        <f t="shared" si="15"/>
        <v>0.86605597964376591</v>
      </c>
      <c r="Q195" s="5">
        <f t="shared" si="16"/>
        <v>0.95866141732283461</v>
      </c>
      <c r="R195" s="5">
        <f t="shared" si="17"/>
        <v>0.72508888888888889</v>
      </c>
    </row>
    <row r="196" spans="1:18" x14ac:dyDescent="0.25">
      <c r="A196" s="3">
        <v>192</v>
      </c>
      <c r="B196" s="4">
        <v>46278</v>
      </c>
      <c r="C196" s="3" t="s">
        <v>30</v>
      </c>
      <c r="D196" s="3" t="s">
        <v>23</v>
      </c>
      <c r="E196" s="3" t="s">
        <v>24</v>
      </c>
      <c r="F196" s="3">
        <v>556</v>
      </c>
      <c r="G196" s="3">
        <v>542</v>
      </c>
      <c r="H196" s="3">
        <v>14</v>
      </c>
      <c r="I196" s="5">
        <f t="shared" si="13"/>
        <v>2.5179856115107913E-2</v>
      </c>
      <c r="J196" s="6">
        <f t="shared" si="18"/>
        <v>25179.856115107912</v>
      </c>
      <c r="K196" s="7">
        <v>0.65</v>
      </c>
      <c r="L196" s="3">
        <v>393</v>
      </c>
      <c r="M196" s="3">
        <v>450</v>
      </c>
      <c r="N196" s="3">
        <v>57</v>
      </c>
      <c r="O196" s="5">
        <f t="shared" si="14"/>
        <v>0.87333333333333329</v>
      </c>
      <c r="P196" s="5">
        <f t="shared" si="15"/>
        <v>0.91959287531806622</v>
      </c>
      <c r="Q196" s="5">
        <f t="shared" si="16"/>
        <v>0.97482014388489213</v>
      </c>
      <c r="R196" s="5">
        <f t="shared" si="17"/>
        <v>0.78288888888888897</v>
      </c>
    </row>
    <row r="197" spans="1:18" x14ac:dyDescent="0.25">
      <c r="A197" s="3">
        <v>193</v>
      </c>
      <c r="B197" s="4">
        <v>46278</v>
      </c>
      <c r="C197" s="3" t="s">
        <v>33</v>
      </c>
      <c r="D197" s="3" t="s">
        <v>19</v>
      </c>
      <c r="E197" s="3" t="s">
        <v>24</v>
      </c>
      <c r="F197" s="3">
        <v>285</v>
      </c>
      <c r="G197" s="3">
        <v>278</v>
      </c>
      <c r="H197" s="3">
        <v>7</v>
      </c>
      <c r="I197" s="5">
        <f t="shared" ref="I197:I260" si="19">IFERROR(H197/F197,0)</f>
        <v>2.456140350877193E-2</v>
      </c>
      <c r="J197" s="6">
        <f t="shared" si="18"/>
        <v>24561.403508771931</v>
      </c>
      <c r="K197" s="7">
        <v>1.55</v>
      </c>
      <c r="L197" s="3">
        <v>439</v>
      </c>
      <c r="M197" s="3">
        <v>450</v>
      </c>
      <c r="N197" s="3">
        <v>11</v>
      </c>
      <c r="O197" s="5">
        <f t="shared" ref="O197:O260" si="20">IFERROR(L197/M197,0)</f>
        <v>0.97555555555555551</v>
      </c>
      <c r="P197" s="5">
        <f t="shared" ref="P197:P260" si="21">IFERROR(F197*K197/L197,0)</f>
        <v>1.00626423690205</v>
      </c>
      <c r="Q197" s="5">
        <f t="shared" ref="Q197:Q260" si="22">IFERROR(G197/F197,0)</f>
        <v>0.9754385964912281</v>
      </c>
      <c r="R197" s="5">
        <f t="shared" ref="R197:R260" si="23">O197*P197*Q197</f>
        <v>0.95755555555555549</v>
      </c>
    </row>
    <row r="198" spans="1:18" x14ac:dyDescent="0.25">
      <c r="A198" s="3">
        <v>194</v>
      </c>
      <c r="B198" s="4">
        <v>46278</v>
      </c>
      <c r="C198" s="3" t="s">
        <v>33</v>
      </c>
      <c r="D198" s="3" t="s">
        <v>21</v>
      </c>
      <c r="E198" s="3" t="s">
        <v>22</v>
      </c>
      <c r="F198" s="3">
        <v>330</v>
      </c>
      <c r="G198" s="3">
        <v>329</v>
      </c>
      <c r="H198" s="3">
        <v>1</v>
      </c>
      <c r="I198" s="5">
        <f t="shared" si="19"/>
        <v>3.0303030303030303E-3</v>
      </c>
      <c r="J198" s="6">
        <f t="shared" ref="J198:J261" si="24">H198/F198*1000000</f>
        <v>3030.3030303030305</v>
      </c>
      <c r="K198" s="7">
        <v>1.2</v>
      </c>
      <c r="L198" s="3">
        <v>437</v>
      </c>
      <c r="M198" s="3">
        <v>450</v>
      </c>
      <c r="N198" s="3">
        <v>13</v>
      </c>
      <c r="O198" s="5">
        <f t="shared" si="20"/>
        <v>0.97111111111111115</v>
      </c>
      <c r="P198" s="5">
        <f t="shared" si="21"/>
        <v>0.90617848970251713</v>
      </c>
      <c r="Q198" s="5">
        <f t="shared" si="22"/>
        <v>0.99696969696969695</v>
      </c>
      <c r="R198" s="5">
        <f t="shared" si="23"/>
        <v>0.8773333333333333</v>
      </c>
    </row>
    <row r="199" spans="1:18" x14ac:dyDescent="0.25">
      <c r="A199" s="3">
        <v>195</v>
      </c>
      <c r="B199" s="4">
        <v>46278</v>
      </c>
      <c r="C199" s="3" t="s">
        <v>33</v>
      </c>
      <c r="D199" s="3" t="s">
        <v>23</v>
      </c>
      <c r="E199" s="3" t="s">
        <v>32</v>
      </c>
      <c r="F199" s="3">
        <v>356</v>
      </c>
      <c r="G199" s="3">
        <v>345</v>
      </c>
      <c r="H199" s="3">
        <v>11</v>
      </c>
      <c r="I199" s="5">
        <f t="shared" si="19"/>
        <v>3.0898876404494381E-2</v>
      </c>
      <c r="J199" s="6">
        <f t="shared" si="24"/>
        <v>30898.876404494382</v>
      </c>
      <c r="K199" s="7">
        <v>1.07</v>
      </c>
      <c r="L199" s="3">
        <v>441</v>
      </c>
      <c r="M199" s="3">
        <v>450</v>
      </c>
      <c r="N199" s="3">
        <v>9</v>
      </c>
      <c r="O199" s="5">
        <f t="shared" si="20"/>
        <v>0.98</v>
      </c>
      <c r="P199" s="5">
        <f t="shared" si="21"/>
        <v>0.86376417233560099</v>
      </c>
      <c r="Q199" s="5">
        <f t="shared" si="22"/>
        <v>0.9691011235955056</v>
      </c>
      <c r="R199" s="5">
        <f t="shared" si="23"/>
        <v>0.82033333333333336</v>
      </c>
    </row>
    <row r="200" spans="1:18" x14ac:dyDescent="0.25">
      <c r="A200" s="3">
        <v>196</v>
      </c>
      <c r="B200" s="4">
        <v>46279</v>
      </c>
      <c r="C200" s="3" t="s">
        <v>18</v>
      </c>
      <c r="D200" s="3" t="s">
        <v>19</v>
      </c>
      <c r="E200" s="3" t="s">
        <v>24</v>
      </c>
      <c r="F200" s="3">
        <v>322</v>
      </c>
      <c r="G200" s="3">
        <v>320</v>
      </c>
      <c r="H200" s="3">
        <v>2</v>
      </c>
      <c r="I200" s="5">
        <f t="shared" si="19"/>
        <v>6.2111801242236021E-3</v>
      </c>
      <c r="J200" s="6">
        <f t="shared" si="24"/>
        <v>6211.1801242236024</v>
      </c>
      <c r="K200" s="7">
        <v>1.07</v>
      </c>
      <c r="L200" s="3">
        <v>429</v>
      </c>
      <c r="M200" s="3">
        <v>450</v>
      </c>
      <c r="N200" s="3">
        <v>21</v>
      </c>
      <c r="O200" s="5">
        <f t="shared" si="20"/>
        <v>0.95333333333333337</v>
      </c>
      <c r="P200" s="5">
        <f t="shared" si="21"/>
        <v>0.80312354312354317</v>
      </c>
      <c r="Q200" s="5">
        <f t="shared" si="22"/>
        <v>0.99378881987577639</v>
      </c>
      <c r="R200" s="5">
        <f t="shared" si="23"/>
        <v>0.76088888888888895</v>
      </c>
    </row>
    <row r="201" spans="1:18" x14ac:dyDescent="0.25">
      <c r="A201" s="3">
        <v>197</v>
      </c>
      <c r="B201" s="4">
        <v>46279</v>
      </c>
      <c r="C201" s="3" t="s">
        <v>18</v>
      </c>
      <c r="D201" s="3" t="s">
        <v>21</v>
      </c>
      <c r="E201" s="3" t="s">
        <v>22</v>
      </c>
      <c r="F201" s="3">
        <v>593</v>
      </c>
      <c r="G201" s="3">
        <v>587</v>
      </c>
      <c r="H201" s="3">
        <v>6</v>
      </c>
      <c r="I201" s="5">
        <f t="shared" si="19"/>
        <v>1.0118043844856661E-2</v>
      </c>
      <c r="J201" s="6">
        <f t="shared" si="24"/>
        <v>10118.04384485666</v>
      </c>
      <c r="K201" s="7">
        <v>0.62</v>
      </c>
      <c r="L201" s="3">
        <v>395</v>
      </c>
      <c r="M201" s="3">
        <v>450</v>
      </c>
      <c r="N201" s="3">
        <v>55</v>
      </c>
      <c r="O201" s="5">
        <f t="shared" si="20"/>
        <v>0.87777777777777777</v>
      </c>
      <c r="P201" s="5">
        <f t="shared" si="21"/>
        <v>0.93078481012658232</v>
      </c>
      <c r="Q201" s="5">
        <f t="shared" si="22"/>
        <v>0.98988195615514329</v>
      </c>
      <c r="R201" s="5">
        <f t="shared" si="23"/>
        <v>0.80875555555555545</v>
      </c>
    </row>
    <row r="202" spans="1:18" x14ac:dyDescent="0.25">
      <c r="A202" s="3">
        <v>198</v>
      </c>
      <c r="B202" s="4">
        <v>46279</v>
      </c>
      <c r="C202" s="3" t="s">
        <v>18</v>
      </c>
      <c r="D202" s="3" t="s">
        <v>23</v>
      </c>
      <c r="E202" s="3" t="s">
        <v>31</v>
      </c>
      <c r="F202" s="3">
        <v>221</v>
      </c>
      <c r="G202" s="3">
        <v>219</v>
      </c>
      <c r="H202" s="3">
        <v>2</v>
      </c>
      <c r="I202" s="5">
        <f t="shared" si="19"/>
        <v>9.0497737556561094E-3</v>
      </c>
      <c r="J202" s="6">
        <f t="shared" si="24"/>
        <v>9049.7737556561096</v>
      </c>
      <c r="K202" s="7">
        <v>1.63</v>
      </c>
      <c r="L202" s="3">
        <v>434</v>
      </c>
      <c r="M202" s="3">
        <v>450</v>
      </c>
      <c r="N202" s="3">
        <v>16</v>
      </c>
      <c r="O202" s="5">
        <f t="shared" si="20"/>
        <v>0.96444444444444444</v>
      </c>
      <c r="P202" s="5">
        <f t="shared" si="21"/>
        <v>0.83002304147465433</v>
      </c>
      <c r="Q202" s="5">
        <f t="shared" si="22"/>
        <v>0.99095022624434392</v>
      </c>
      <c r="R202" s="5">
        <f t="shared" si="23"/>
        <v>0.79326666666666668</v>
      </c>
    </row>
    <row r="203" spans="1:18" x14ac:dyDescent="0.25">
      <c r="A203" s="3">
        <v>199</v>
      </c>
      <c r="B203" s="4">
        <v>46279</v>
      </c>
      <c r="C203" s="3" t="s">
        <v>25</v>
      </c>
      <c r="D203" s="3" t="s">
        <v>19</v>
      </c>
      <c r="E203" s="3" t="s">
        <v>22</v>
      </c>
      <c r="F203" s="3">
        <v>215</v>
      </c>
      <c r="G203" s="3">
        <v>206</v>
      </c>
      <c r="H203" s="3">
        <v>9</v>
      </c>
      <c r="I203" s="5">
        <f t="shared" si="19"/>
        <v>4.1860465116279069E-2</v>
      </c>
      <c r="J203" s="6">
        <f t="shared" si="24"/>
        <v>41860.465116279069</v>
      </c>
      <c r="K203" s="7">
        <v>1.62</v>
      </c>
      <c r="L203" s="3">
        <v>393</v>
      </c>
      <c r="M203" s="3">
        <v>450</v>
      </c>
      <c r="N203" s="3">
        <v>57</v>
      </c>
      <c r="O203" s="5">
        <f t="shared" si="20"/>
        <v>0.87333333333333329</v>
      </c>
      <c r="P203" s="5">
        <f t="shared" si="21"/>
        <v>0.88625954198473289</v>
      </c>
      <c r="Q203" s="5">
        <f t="shared" si="22"/>
        <v>0.95813953488372094</v>
      </c>
      <c r="R203" s="5">
        <f t="shared" si="23"/>
        <v>0.74160000000000004</v>
      </c>
    </row>
    <row r="204" spans="1:18" x14ac:dyDescent="0.25">
      <c r="A204" s="3">
        <v>200</v>
      </c>
      <c r="B204" s="4">
        <v>46279</v>
      </c>
      <c r="C204" s="3" t="s">
        <v>25</v>
      </c>
      <c r="D204" s="3" t="s">
        <v>21</v>
      </c>
      <c r="E204" s="3" t="s">
        <v>31</v>
      </c>
      <c r="F204" s="3">
        <v>238</v>
      </c>
      <c r="G204" s="3">
        <v>237</v>
      </c>
      <c r="H204" s="3">
        <v>1</v>
      </c>
      <c r="I204" s="5">
        <f t="shared" si="19"/>
        <v>4.2016806722689074E-3</v>
      </c>
      <c r="J204" s="6">
        <f t="shared" si="24"/>
        <v>4201.6806722689071</v>
      </c>
      <c r="K204" s="7">
        <v>1.72</v>
      </c>
      <c r="L204" s="3">
        <v>427</v>
      </c>
      <c r="M204" s="3">
        <v>450</v>
      </c>
      <c r="N204" s="3">
        <v>23</v>
      </c>
      <c r="O204" s="5">
        <f t="shared" si="20"/>
        <v>0.94888888888888889</v>
      </c>
      <c r="P204" s="5">
        <f t="shared" si="21"/>
        <v>0.95868852459016396</v>
      </c>
      <c r="Q204" s="5">
        <f t="shared" si="22"/>
        <v>0.99579831932773111</v>
      </c>
      <c r="R204" s="5">
        <f t="shared" si="23"/>
        <v>0.90586666666666671</v>
      </c>
    </row>
    <row r="205" spans="1:18" x14ac:dyDescent="0.25">
      <c r="A205" s="3">
        <v>201</v>
      </c>
      <c r="B205" s="4">
        <v>46279</v>
      </c>
      <c r="C205" s="3" t="s">
        <v>25</v>
      </c>
      <c r="D205" s="3" t="s">
        <v>23</v>
      </c>
      <c r="E205" s="3" t="s">
        <v>34</v>
      </c>
      <c r="F205" s="3">
        <v>363</v>
      </c>
      <c r="G205" s="3">
        <v>360</v>
      </c>
      <c r="H205" s="3">
        <v>3</v>
      </c>
      <c r="I205" s="5">
        <f t="shared" si="19"/>
        <v>8.2644628099173556E-3</v>
      </c>
      <c r="J205" s="6">
        <f t="shared" si="24"/>
        <v>8264.4628099173551</v>
      </c>
      <c r="K205" s="7">
        <v>1.21</v>
      </c>
      <c r="L205" s="3">
        <v>433</v>
      </c>
      <c r="M205" s="3">
        <v>450</v>
      </c>
      <c r="N205" s="3">
        <v>17</v>
      </c>
      <c r="O205" s="5">
        <f t="shared" si="20"/>
        <v>0.9622222222222222</v>
      </c>
      <c r="P205" s="5">
        <f t="shared" si="21"/>
        <v>1.0143879907621247</v>
      </c>
      <c r="Q205" s="5">
        <f t="shared" si="22"/>
        <v>0.99173553719008267</v>
      </c>
      <c r="R205" s="5">
        <f t="shared" si="23"/>
        <v>0.96799999999999997</v>
      </c>
    </row>
    <row r="206" spans="1:18" x14ac:dyDescent="0.25">
      <c r="A206" s="3">
        <v>202</v>
      </c>
      <c r="B206" s="4">
        <v>46279</v>
      </c>
      <c r="C206" s="3" t="s">
        <v>28</v>
      </c>
      <c r="D206" s="3" t="s">
        <v>19</v>
      </c>
      <c r="E206" s="3" t="s">
        <v>24</v>
      </c>
      <c r="F206" s="3">
        <v>359</v>
      </c>
      <c r="G206" s="3">
        <v>356</v>
      </c>
      <c r="H206" s="3">
        <v>3</v>
      </c>
      <c r="I206" s="5">
        <f t="shared" si="19"/>
        <v>8.356545961002786E-3</v>
      </c>
      <c r="J206" s="6">
        <f t="shared" si="24"/>
        <v>8356.5459610027865</v>
      </c>
      <c r="K206" s="7">
        <v>0.92</v>
      </c>
      <c r="L206" s="3">
        <v>385</v>
      </c>
      <c r="M206" s="3">
        <v>450</v>
      </c>
      <c r="N206" s="3">
        <v>65</v>
      </c>
      <c r="O206" s="5">
        <f t="shared" si="20"/>
        <v>0.85555555555555551</v>
      </c>
      <c r="P206" s="5">
        <f t="shared" si="21"/>
        <v>0.85787012987012989</v>
      </c>
      <c r="Q206" s="5">
        <f t="shared" si="22"/>
        <v>0.99164345403899723</v>
      </c>
      <c r="R206" s="5">
        <f t="shared" si="23"/>
        <v>0.72782222222222226</v>
      </c>
    </row>
    <row r="207" spans="1:18" x14ac:dyDescent="0.25">
      <c r="A207" s="3">
        <v>203</v>
      </c>
      <c r="B207" s="4">
        <v>46279</v>
      </c>
      <c r="C207" s="3" t="s">
        <v>28</v>
      </c>
      <c r="D207" s="3" t="s">
        <v>21</v>
      </c>
      <c r="E207" s="3" t="s">
        <v>26</v>
      </c>
      <c r="F207" s="3">
        <v>245</v>
      </c>
      <c r="G207" s="3">
        <v>243</v>
      </c>
      <c r="H207" s="3">
        <v>2</v>
      </c>
      <c r="I207" s="5">
        <f t="shared" si="19"/>
        <v>8.1632653061224497E-3</v>
      </c>
      <c r="J207" s="6">
        <f t="shared" si="24"/>
        <v>8163.2653061224501</v>
      </c>
      <c r="K207" s="7">
        <v>1.36</v>
      </c>
      <c r="L207" s="3">
        <v>385</v>
      </c>
      <c r="M207" s="3">
        <v>450</v>
      </c>
      <c r="N207" s="3">
        <v>65</v>
      </c>
      <c r="O207" s="5">
        <f t="shared" si="20"/>
        <v>0.85555555555555551</v>
      </c>
      <c r="P207" s="5">
        <f t="shared" si="21"/>
        <v>0.86545454545454559</v>
      </c>
      <c r="Q207" s="5">
        <f t="shared" si="22"/>
        <v>0.99183673469387756</v>
      </c>
      <c r="R207" s="5">
        <f t="shared" si="23"/>
        <v>0.73440000000000016</v>
      </c>
    </row>
    <row r="208" spans="1:18" x14ac:dyDescent="0.25">
      <c r="A208" s="3">
        <v>204</v>
      </c>
      <c r="B208" s="4">
        <v>46279</v>
      </c>
      <c r="C208" s="3" t="s">
        <v>28</v>
      </c>
      <c r="D208" s="3" t="s">
        <v>23</v>
      </c>
      <c r="E208" s="3" t="s">
        <v>31</v>
      </c>
      <c r="F208" s="3">
        <v>328</v>
      </c>
      <c r="G208" s="3">
        <v>321</v>
      </c>
      <c r="H208" s="3">
        <v>7</v>
      </c>
      <c r="I208" s="5">
        <f t="shared" si="19"/>
        <v>2.1341463414634148E-2</v>
      </c>
      <c r="J208" s="6">
        <f t="shared" si="24"/>
        <v>21341.463414634149</v>
      </c>
      <c r="K208" s="7">
        <v>1.07</v>
      </c>
      <c r="L208" s="3">
        <v>429</v>
      </c>
      <c r="M208" s="3">
        <v>450</v>
      </c>
      <c r="N208" s="3">
        <v>21</v>
      </c>
      <c r="O208" s="5">
        <f t="shared" si="20"/>
        <v>0.95333333333333337</v>
      </c>
      <c r="P208" s="5">
        <f t="shared" si="21"/>
        <v>0.81808857808857816</v>
      </c>
      <c r="Q208" s="5">
        <f t="shared" si="22"/>
        <v>0.97865853658536583</v>
      </c>
      <c r="R208" s="5">
        <f t="shared" si="23"/>
        <v>0.76326666666666676</v>
      </c>
    </row>
    <row r="209" spans="1:18" x14ac:dyDescent="0.25">
      <c r="A209" s="3">
        <v>205</v>
      </c>
      <c r="B209" s="4">
        <v>46279</v>
      </c>
      <c r="C209" s="3" t="s">
        <v>30</v>
      </c>
      <c r="D209" s="3" t="s">
        <v>19</v>
      </c>
      <c r="E209" s="3" t="s">
        <v>35</v>
      </c>
      <c r="F209" s="3">
        <v>593</v>
      </c>
      <c r="G209" s="3">
        <v>578</v>
      </c>
      <c r="H209" s="3">
        <v>15</v>
      </c>
      <c r="I209" s="5">
        <f t="shared" si="19"/>
        <v>2.5295109612141653E-2</v>
      </c>
      <c r="J209" s="6">
        <f t="shared" si="24"/>
        <v>25295.109612141652</v>
      </c>
      <c r="K209" s="7">
        <v>0.56000000000000005</v>
      </c>
      <c r="L209" s="3">
        <v>407</v>
      </c>
      <c r="M209" s="3">
        <v>450</v>
      </c>
      <c r="N209" s="3">
        <v>43</v>
      </c>
      <c r="O209" s="5">
        <f t="shared" si="20"/>
        <v>0.9044444444444445</v>
      </c>
      <c r="P209" s="5">
        <f t="shared" si="21"/>
        <v>0.81592137592137604</v>
      </c>
      <c r="Q209" s="5">
        <f t="shared" si="22"/>
        <v>0.97470489038785835</v>
      </c>
      <c r="R209" s="5">
        <f t="shared" si="23"/>
        <v>0.71928888888888898</v>
      </c>
    </row>
    <row r="210" spans="1:18" x14ac:dyDescent="0.25">
      <c r="A210" s="3">
        <v>206</v>
      </c>
      <c r="B210" s="4">
        <v>46279</v>
      </c>
      <c r="C210" s="3" t="s">
        <v>30</v>
      </c>
      <c r="D210" s="3" t="s">
        <v>21</v>
      </c>
      <c r="E210" s="3" t="s">
        <v>26</v>
      </c>
      <c r="F210" s="3">
        <v>483</v>
      </c>
      <c r="G210" s="3">
        <v>477</v>
      </c>
      <c r="H210" s="3">
        <v>6</v>
      </c>
      <c r="I210" s="5">
        <f t="shared" si="19"/>
        <v>1.2422360248447204E-2</v>
      </c>
      <c r="J210" s="6">
        <f t="shared" si="24"/>
        <v>12422.360248447205</v>
      </c>
      <c r="K210" s="7">
        <v>0.64</v>
      </c>
      <c r="L210" s="3">
        <v>387</v>
      </c>
      <c r="M210" s="3">
        <v>450</v>
      </c>
      <c r="N210" s="3">
        <v>63</v>
      </c>
      <c r="O210" s="5">
        <f t="shared" si="20"/>
        <v>0.86</v>
      </c>
      <c r="P210" s="5">
        <f t="shared" si="21"/>
        <v>0.79875968992248059</v>
      </c>
      <c r="Q210" s="5">
        <f t="shared" si="22"/>
        <v>0.98757763975155277</v>
      </c>
      <c r="R210" s="5">
        <f t="shared" si="23"/>
        <v>0.67839999999999989</v>
      </c>
    </row>
    <row r="211" spans="1:18" x14ac:dyDescent="0.25">
      <c r="A211" s="3">
        <v>207</v>
      </c>
      <c r="B211" s="4">
        <v>46279</v>
      </c>
      <c r="C211" s="3" t="s">
        <v>30</v>
      </c>
      <c r="D211" s="3" t="s">
        <v>23</v>
      </c>
      <c r="E211" s="3" t="s">
        <v>26</v>
      </c>
      <c r="F211" s="3">
        <v>852</v>
      </c>
      <c r="G211" s="3">
        <v>826</v>
      </c>
      <c r="H211" s="3">
        <v>26</v>
      </c>
      <c r="I211" s="5">
        <f t="shared" si="19"/>
        <v>3.0516431924882629E-2</v>
      </c>
      <c r="J211" s="6">
        <f t="shared" si="24"/>
        <v>30516.431924882629</v>
      </c>
      <c r="K211" s="7">
        <v>0.43</v>
      </c>
      <c r="L211" s="3">
        <v>406</v>
      </c>
      <c r="M211" s="3">
        <v>450</v>
      </c>
      <c r="N211" s="3">
        <v>44</v>
      </c>
      <c r="O211" s="5">
        <f t="shared" si="20"/>
        <v>0.90222222222222226</v>
      </c>
      <c r="P211" s="5">
        <f t="shared" si="21"/>
        <v>0.90236453201970446</v>
      </c>
      <c r="Q211" s="5">
        <f t="shared" si="22"/>
        <v>0.96948356807511737</v>
      </c>
      <c r="R211" s="5">
        <f t="shared" si="23"/>
        <v>0.78928888888888893</v>
      </c>
    </row>
    <row r="212" spans="1:18" x14ac:dyDescent="0.25">
      <c r="A212" s="3">
        <v>208</v>
      </c>
      <c r="B212" s="4">
        <v>46279</v>
      </c>
      <c r="C212" s="3" t="s">
        <v>33</v>
      </c>
      <c r="D212" s="3" t="s">
        <v>19</v>
      </c>
      <c r="E212" s="3" t="s">
        <v>31</v>
      </c>
      <c r="F212" s="3">
        <v>810</v>
      </c>
      <c r="G212" s="3">
        <v>788</v>
      </c>
      <c r="H212" s="3">
        <v>22</v>
      </c>
      <c r="I212" s="5">
        <f t="shared" si="19"/>
        <v>2.7160493827160494E-2</v>
      </c>
      <c r="J212" s="6">
        <f t="shared" si="24"/>
        <v>27160.493827160495</v>
      </c>
      <c r="K212" s="7">
        <v>0.48</v>
      </c>
      <c r="L212" s="3">
        <v>437</v>
      </c>
      <c r="M212" s="3">
        <v>450</v>
      </c>
      <c r="N212" s="3">
        <v>13</v>
      </c>
      <c r="O212" s="5">
        <f t="shared" si="20"/>
        <v>0.97111111111111115</v>
      </c>
      <c r="P212" s="5">
        <f t="shared" si="21"/>
        <v>0.8897025171624714</v>
      </c>
      <c r="Q212" s="5">
        <f t="shared" si="22"/>
        <v>0.97283950617283954</v>
      </c>
      <c r="R212" s="5">
        <f t="shared" si="23"/>
        <v>0.84053333333333335</v>
      </c>
    </row>
    <row r="213" spans="1:18" x14ac:dyDescent="0.25">
      <c r="A213" s="3">
        <v>209</v>
      </c>
      <c r="B213" s="4">
        <v>46279</v>
      </c>
      <c r="C213" s="3" t="s">
        <v>33</v>
      </c>
      <c r="D213" s="3" t="s">
        <v>21</v>
      </c>
      <c r="E213" s="3" t="s">
        <v>24</v>
      </c>
      <c r="F213" s="3">
        <v>514</v>
      </c>
      <c r="G213" s="3">
        <v>508</v>
      </c>
      <c r="H213" s="3">
        <v>6</v>
      </c>
      <c r="I213" s="5">
        <f t="shared" si="19"/>
        <v>1.1673151750972763E-2</v>
      </c>
      <c r="J213" s="6">
        <f t="shared" si="24"/>
        <v>11673.151750972764</v>
      </c>
      <c r="K213" s="7">
        <v>0.69</v>
      </c>
      <c r="L213" s="3">
        <v>445</v>
      </c>
      <c r="M213" s="3">
        <v>450</v>
      </c>
      <c r="N213" s="3">
        <v>5</v>
      </c>
      <c r="O213" s="5">
        <f t="shared" si="20"/>
        <v>0.98888888888888893</v>
      </c>
      <c r="P213" s="5">
        <f t="shared" si="21"/>
        <v>0.79698876404494379</v>
      </c>
      <c r="Q213" s="5">
        <f t="shared" si="22"/>
        <v>0.98832684824902728</v>
      </c>
      <c r="R213" s="5">
        <f t="shared" si="23"/>
        <v>0.77893333333333337</v>
      </c>
    </row>
    <row r="214" spans="1:18" x14ac:dyDescent="0.25">
      <c r="A214" s="3">
        <v>210</v>
      </c>
      <c r="B214" s="4">
        <v>46279</v>
      </c>
      <c r="C214" s="3" t="s">
        <v>33</v>
      </c>
      <c r="D214" s="3" t="s">
        <v>23</v>
      </c>
      <c r="E214" s="3" t="s">
        <v>27</v>
      </c>
      <c r="F214" s="3">
        <v>422</v>
      </c>
      <c r="G214" s="3">
        <v>403</v>
      </c>
      <c r="H214" s="3">
        <v>19</v>
      </c>
      <c r="I214" s="5">
        <f t="shared" si="19"/>
        <v>4.5023696682464455E-2</v>
      </c>
      <c r="J214" s="6">
        <f t="shared" si="24"/>
        <v>45023.696682464455</v>
      </c>
      <c r="K214" s="7">
        <v>1.03</v>
      </c>
      <c r="L214" s="3">
        <v>423</v>
      </c>
      <c r="M214" s="3">
        <v>450</v>
      </c>
      <c r="N214" s="3">
        <v>27</v>
      </c>
      <c r="O214" s="5">
        <f t="shared" si="20"/>
        <v>0.94</v>
      </c>
      <c r="P214" s="5">
        <f t="shared" si="21"/>
        <v>1.027565011820331</v>
      </c>
      <c r="Q214" s="5">
        <f t="shared" si="22"/>
        <v>0.95497630331753558</v>
      </c>
      <c r="R214" s="5">
        <f t="shared" si="23"/>
        <v>0.92242222222222225</v>
      </c>
    </row>
    <row r="215" spans="1:18" x14ac:dyDescent="0.25">
      <c r="A215" s="3">
        <v>211</v>
      </c>
      <c r="B215" s="4">
        <v>46280</v>
      </c>
      <c r="C215" s="3" t="s">
        <v>18</v>
      </c>
      <c r="D215" s="3" t="s">
        <v>19</v>
      </c>
      <c r="E215" s="3" t="s">
        <v>20</v>
      </c>
      <c r="F215" s="3">
        <v>186</v>
      </c>
      <c r="G215" s="3">
        <v>183</v>
      </c>
      <c r="H215" s="3">
        <v>3</v>
      </c>
      <c r="I215" s="5">
        <f t="shared" si="19"/>
        <v>1.6129032258064516E-2</v>
      </c>
      <c r="J215" s="6">
        <f t="shared" si="24"/>
        <v>16129.032258064515</v>
      </c>
      <c r="K215" s="7">
        <v>1.77</v>
      </c>
      <c r="L215" s="3">
        <v>412</v>
      </c>
      <c r="M215" s="3">
        <v>450</v>
      </c>
      <c r="N215" s="3">
        <v>38</v>
      </c>
      <c r="O215" s="5">
        <f t="shared" si="20"/>
        <v>0.91555555555555557</v>
      </c>
      <c r="P215" s="5">
        <f t="shared" si="21"/>
        <v>0.79907766990291274</v>
      </c>
      <c r="Q215" s="5">
        <f t="shared" si="22"/>
        <v>0.9838709677419355</v>
      </c>
      <c r="R215" s="5">
        <f t="shared" si="23"/>
        <v>0.71980000000000011</v>
      </c>
    </row>
    <row r="216" spans="1:18" x14ac:dyDescent="0.25">
      <c r="A216" s="3">
        <v>212</v>
      </c>
      <c r="B216" s="4">
        <v>46280</v>
      </c>
      <c r="C216" s="3" t="s">
        <v>18</v>
      </c>
      <c r="D216" s="3" t="s">
        <v>21</v>
      </c>
      <c r="E216" s="3" t="s">
        <v>22</v>
      </c>
      <c r="F216" s="3">
        <v>476</v>
      </c>
      <c r="G216" s="3">
        <v>473</v>
      </c>
      <c r="H216" s="3">
        <v>3</v>
      </c>
      <c r="I216" s="5">
        <f t="shared" si="19"/>
        <v>6.3025210084033615E-3</v>
      </c>
      <c r="J216" s="6">
        <f t="shared" si="24"/>
        <v>6302.5210084033615</v>
      </c>
      <c r="K216" s="7">
        <v>0.69</v>
      </c>
      <c r="L216" s="3">
        <v>420</v>
      </c>
      <c r="M216" s="3">
        <v>450</v>
      </c>
      <c r="N216" s="3">
        <v>30</v>
      </c>
      <c r="O216" s="5">
        <f t="shared" si="20"/>
        <v>0.93333333333333335</v>
      </c>
      <c r="P216" s="5">
        <f t="shared" si="21"/>
        <v>0.78200000000000003</v>
      </c>
      <c r="Q216" s="5">
        <f t="shared" si="22"/>
        <v>0.99369747899159666</v>
      </c>
      <c r="R216" s="5">
        <f t="shared" si="23"/>
        <v>0.72526666666666673</v>
      </c>
    </row>
    <row r="217" spans="1:18" x14ac:dyDescent="0.25">
      <c r="A217" s="3">
        <v>213</v>
      </c>
      <c r="B217" s="4">
        <v>46280</v>
      </c>
      <c r="C217" s="3" t="s">
        <v>18</v>
      </c>
      <c r="D217" s="3" t="s">
        <v>23</v>
      </c>
      <c r="E217" s="3" t="s">
        <v>24</v>
      </c>
      <c r="F217" s="3">
        <v>328</v>
      </c>
      <c r="G217" s="3">
        <v>317</v>
      </c>
      <c r="H217" s="3">
        <v>11</v>
      </c>
      <c r="I217" s="5">
        <f t="shared" si="19"/>
        <v>3.3536585365853661E-2</v>
      </c>
      <c r="J217" s="6">
        <f t="shared" si="24"/>
        <v>33536.585365853658</v>
      </c>
      <c r="K217" s="7">
        <v>1.01</v>
      </c>
      <c r="L217" s="3">
        <v>402</v>
      </c>
      <c r="M217" s="3">
        <v>450</v>
      </c>
      <c r="N217" s="3">
        <v>48</v>
      </c>
      <c r="O217" s="5">
        <f t="shared" si="20"/>
        <v>0.89333333333333331</v>
      </c>
      <c r="P217" s="5">
        <f t="shared" si="21"/>
        <v>0.82407960199004981</v>
      </c>
      <c r="Q217" s="5">
        <f t="shared" si="22"/>
        <v>0.96646341463414631</v>
      </c>
      <c r="R217" s="5">
        <f t="shared" si="23"/>
        <v>0.71148888888888895</v>
      </c>
    </row>
    <row r="218" spans="1:18" x14ac:dyDescent="0.25">
      <c r="A218" s="3">
        <v>214</v>
      </c>
      <c r="B218" s="4">
        <v>46280</v>
      </c>
      <c r="C218" s="3" t="s">
        <v>25</v>
      </c>
      <c r="D218" s="3" t="s">
        <v>19</v>
      </c>
      <c r="E218" s="3" t="s">
        <v>34</v>
      </c>
      <c r="F218" s="3">
        <v>485</v>
      </c>
      <c r="G218" s="3">
        <v>479</v>
      </c>
      <c r="H218" s="3">
        <v>6</v>
      </c>
      <c r="I218" s="5">
        <f t="shared" si="19"/>
        <v>1.2371134020618556E-2</v>
      </c>
      <c r="J218" s="6">
        <f t="shared" si="24"/>
        <v>12371.134020618556</v>
      </c>
      <c r="K218" s="7">
        <v>0.87</v>
      </c>
      <c r="L218" s="3">
        <v>425</v>
      </c>
      <c r="M218" s="3">
        <v>450</v>
      </c>
      <c r="N218" s="3">
        <v>25</v>
      </c>
      <c r="O218" s="5">
        <f t="shared" si="20"/>
        <v>0.94444444444444442</v>
      </c>
      <c r="P218" s="5">
        <f t="shared" si="21"/>
        <v>0.99282352941176466</v>
      </c>
      <c r="Q218" s="5">
        <f t="shared" si="22"/>
        <v>0.98762886597938149</v>
      </c>
      <c r="R218" s="5">
        <f t="shared" si="23"/>
        <v>0.9260666666666667</v>
      </c>
    </row>
    <row r="219" spans="1:18" x14ac:dyDescent="0.25">
      <c r="A219" s="3">
        <v>215</v>
      </c>
      <c r="B219" s="4">
        <v>46280</v>
      </c>
      <c r="C219" s="3" t="s">
        <v>25</v>
      </c>
      <c r="D219" s="3" t="s">
        <v>21</v>
      </c>
      <c r="E219" s="3" t="s">
        <v>22</v>
      </c>
      <c r="F219" s="3">
        <v>328</v>
      </c>
      <c r="G219" s="3">
        <v>325</v>
      </c>
      <c r="H219" s="3">
        <v>3</v>
      </c>
      <c r="I219" s="5">
        <f t="shared" si="19"/>
        <v>9.1463414634146336E-3</v>
      </c>
      <c r="J219" s="6">
        <f t="shared" si="24"/>
        <v>9146.3414634146338</v>
      </c>
      <c r="K219" s="7">
        <v>1.1299999999999999</v>
      </c>
      <c r="L219" s="3">
        <v>411</v>
      </c>
      <c r="M219" s="3">
        <v>450</v>
      </c>
      <c r="N219" s="3">
        <v>39</v>
      </c>
      <c r="O219" s="5">
        <f t="shared" si="20"/>
        <v>0.91333333333333333</v>
      </c>
      <c r="P219" s="5">
        <f t="shared" si="21"/>
        <v>0.90180048661800483</v>
      </c>
      <c r="Q219" s="5">
        <f t="shared" si="22"/>
        <v>0.99085365853658536</v>
      </c>
      <c r="R219" s="5">
        <f t="shared" si="23"/>
        <v>0.81611111111111101</v>
      </c>
    </row>
    <row r="220" spans="1:18" x14ac:dyDescent="0.25">
      <c r="A220" s="3">
        <v>216</v>
      </c>
      <c r="B220" s="4">
        <v>46280</v>
      </c>
      <c r="C220" s="3" t="s">
        <v>25</v>
      </c>
      <c r="D220" s="3" t="s">
        <v>23</v>
      </c>
      <c r="E220" s="3" t="s">
        <v>31</v>
      </c>
      <c r="F220" s="3">
        <v>698</v>
      </c>
      <c r="G220" s="3">
        <v>688</v>
      </c>
      <c r="H220" s="3">
        <v>10</v>
      </c>
      <c r="I220" s="5">
        <f t="shared" si="19"/>
        <v>1.4326647564469915E-2</v>
      </c>
      <c r="J220" s="6">
        <f t="shared" si="24"/>
        <v>14326.647564469915</v>
      </c>
      <c r="K220" s="7">
        <v>0.57999999999999996</v>
      </c>
      <c r="L220" s="3">
        <v>434</v>
      </c>
      <c r="M220" s="3">
        <v>450</v>
      </c>
      <c r="N220" s="3">
        <v>16</v>
      </c>
      <c r="O220" s="5">
        <f t="shared" si="20"/>
        <v>0.96444444444444444</v>
      </c>
      <c r="P220" s="5">
        <f t="shared" si="21"/>
        <v>0.93281105990783408</v>
      </c>
      <c r="Q220" s="5">
        <f t="shared" si="22"/>
        <v>0.98567335243553011</v>
      </c>
      <c r="R220" s="5">
        <f t="shared" si="23"/>
        <v>0.88675555555555563</v>
      </c>
    </row>
    <row r="221" spans="1:18" x14ac:dyDescent="0.25">
      <c r="A221" s="3">
        <v>217</v>
      </c>
      <c r="B221" s="4">
        <v>46280</v>
      </c>
      <c r="C221" s="3" t="s">
        <v>28</v>
      </c>
      <c r="D221" s="3" t="s">
        <v>19</v>
      </c>
      <c r="E221" s="3" t="s">
        <v>35</v>
      </c>
      <c r="F221" s="3">
        <v>571</v>
      </c>
      <c r="G221" s="3">
        <v>556</v>
      </c>
      <c r="H221" s="3">
        <v>15</v>
      </c>
      <c r="I221" s="5">
        <f t="shared" si="19"/>
        <v>2.6269702276707531E-2</v>
      </c>
      <c r="J221" s="6">
        <f t="shared" si="24"/>
        <v>26269.702276707532</v>
      </c>
      <c r="K221" s="7">
        <v>0.6</v>
      </c>
      <c r="L221" s="3">
        <v>434</v>
      </c>
      <c r="M221" s="3">
        <v>450</v>
      </c>
      <c r="N221" s="3">
        <v>16</v>
      </c>
      <c r="O221" s="5">
        <f t="shared" si="20"/>
        <v>0.96444444444444444</v>
      </c>
      <c r="P221" s="5">
        <f t="shared" si="21"/>
        <v>0.78940092165898612</v>
      </c>
      <c r="Q221" s="5">
        <f t="shared" si="22"/>
        <v>0.97373029772329245</v>
      </c>
      <c r="R221" s="5">
        <f t="shared" si="23"/>
        <v>0.74133333333333329</v>
      </c>
    </row>
    <row r="222" spans="1:18" x14ac:dyDescent="0.25">
      <c r="A222" s="3">
        <v>218</v>
      </c>
      <c r="B222" s="4">
        <v>46280</v>
      </c>
      <c r="C222" s="3" t="s">
        <v>28</v>
      </c>
      <c r="D222" s="3" t="s">
        <v>21</v>
      </c>
      <c r="E222" s="3" t="s">
        <v>27</v>
      </c>
      <c r="F222" s="3">
        <v>287</v>
      </c>
      <c r="G222" s="3">
        <v>281</v>
      </c>
      <c r="H222" s="3">
        <v>6</v>
      </c>
      <c r="I222" s="5">
        <f t="shared" si="19"/>
        <v>2.0905923344947737E-2</v>
      </c>
      <c r="J222" s="6">
        <f t="shared" si="24"/>
        <v>20905.923344947736</v>
      </c>
      <c r="K222" s="7">
        <v>1.1399999999999999</v>
      </c>
      <c r="L222" s="3">
        <v>389</v>
      </c>
      <c r="M222" s="3">
        <v>450</v>
      </c>
      <c r="N222" s="3">
        <v>61</v>
      </c>
      <c r="O222" s="5">
        <f t="shared" si="20"/>
        <v>0.86444444444444446</v>
      </c>
      <c r="P222" s="5">
        <f t="shared" si="21"/>
        <v>0.84107969151670936</v>
      </c>
      <c r="Q222" s="5">
        <f t="shared" si="22"/>
        <v>0.97909407665505221</v>
      </c>
      <c r="R222" s="5">
        <f t="shared" si="23"/>
        <v>0.71186666666666654</v>
      </c>
    </row>
    <row r="223" spans="1:18" x14ac:dyDescent="0.25">
      <c r="A223" s="3">
        <v>219</v>
      </c>
      <c r="B223" s="4">
        <v>46280</v>
      </c>
      <c r="C223" s="3" t="s">
        <v>28</v>
      </c>
      <c r="D223" s="3" t="s">
        <v>23</v>
      </c>
      <c r="E223" s="3" t="s">
        <v>20</v>
      </c>
      <c r="F223" s="3">
        <v>741</v>
      </c>
      <c r="G223" s="3">
        <v>733</v>
      </c>
      <c r="H223" s="3">
        <v>8</v>
      </c>
      <c r="I223" s="5">
        <f t="shared" si="19"/>
        <v>1.0796221322537112E-2</v>
      </c>
      <c r="J223" s="6">
        <f t="shared" si="24"/>
        <v>10796.221322537112</v>
      </c>
      <c r="K223" s="7">
        <v>0.48</v>
      </c>
      <c r="L223" s="3">
        <v>426</v>
      </c>
      <c r="M223" s="3">
        <v>450</v>
      </c>
      <c r="N223" s="3">
        <v>24</v>
      </c>
      <c r="O223" s="5">
        <f t="shared" si="20"/>
        <v>0.94666666666666666</v>
      </c>
      <c r="P223" s="5">
        <f t="shared" si="21"/>
        <v>0.8349295774647888</v>
      </c>
      <c r="Q223" s="5">
        <f t="shared" si="22"/>
        <v>0.9892037786774629</v>
      </c>
      <c r="R223" s="5">
        <f t="shared" si="23"/>
        <v>0.78186666666666682</v>
      </c>
    </row>
    <row r="224" spans="1:18" x14ac:dyDescent="0.25">
      <c r="A224" s="3">
        <v>220</v>
      </c>
      <c r="B224" s="4">
        <v>46280</v>
      </c>
      <c r="C224" s="3" t="s">
        <v>30</v>
      </c>
      <c r="D224" s="3" t="s">
        <v>19</v>
      </c>
      <c r="E224" s="3" t="s">
        <v>24</v>
      </c>
      <c r="F224" s="3">
        <v>499</v>
      </c>
      <c r="G224" s="3">
        <v>481</v>
      </c>
      <c r="H224" s="3">
        <v>18</v>
      </c>
      <c r="I224" s="5">
        <f t="shared" si="19"/>
        <v>3.6072144288577156E-2</v>
      </c>
      <c r="J224" s="6">
        <f t="shared" si="24"/>
        <v>36072.144288577154</v>
      </c>
      <c r="K224" s="7">
        <v>0.81</v>
      </c>
      <c r="L224" s="3">
        <v>402</v>
      </c>
      <c r="M224" s="3">
        <v>450</v>
      </c>
      <c r="N224" s="3">
        <v>48</v>
      </c>
      <c r="O224" s="5">
        <f t="shared" si="20"/>
        <v>0.89333333333333331</v>
      </c>
      <c r="P224" s="5">
        <f t="shared" si="21"/>
        <v>1.00544776119403</v>
      </c>
      <c r="Q224" s="5">
        <f t="shared" si="22"/>
        <v>0.96392785571142281</v>
      </c>
      <c r="R224" s="5">
        <f t="shared" si="23"/>
        <v>0.86580000000000013</v>
      </c>
    </row>
    <row r="225" spans="1:18" x14ac:dyDescent="0.25">
      <c r="A225" s="3">
        <v>221</v>
      </c>
      <c r="B225" s="4">
        <v>46280</v>
      </c>
      <c r="C225" s="3" t="s">
        <v>30</v>
      </c>
      <c r="D225" s="3" t="s">
        <v>21</v>
      </c>
      <c r="E225" s="3" t="s">
        <v>35</v>
      </c>
      <c r="F225" s="3">
        <v>230</v>
      </c>
      <c r="G225" s="3">
        <v>225</v>
      </c>
      <c r="H225" s="3">
        <v>5</v>
      </c>
      <c r="I225" s="5">
        <f t="shared" si="19"/>
        <v>2.1739130434782608E-2</v>
      </c>
      <c r="J225" s="6">
        <f t="shared" si="24"/>
        <v>21739.130434782608</v>
      </c>
      <c r="K225" s="7">
        <v>1.72</v>
      </c>
      <c r="L225" s="3">
        <v>419</v>
      </c>
      <c r="M225" s="3">
        <v>450</v>
      </c>
      <c r="N225" s="3">
        <v>31</v>
      </c>
      <c r="O225" s="5">
        <f t="shared" si="20"/>
        <v>0.93111111111111111</v>
      </c>
      <c r="P225" s="5">
        <f t="shared" si="21"/>
        <v>0.94415274463007148</v>
      </c>
      <c r="Q225" s="5">
        <f t="shared" si="22"/>
        <v>0.97826086956521741</v>
      </c>
      <c r="R225" s="5">
        <f t="shared" si="23"/>
        <v>0.85999999999999988</v>
      </c>
    </row>
    <row r="226" spans="1:18" x14ac:dyDescent="0.25">
      <c r="A226" s="3">
        <v>222</v>
      </c>
      <c r="B226" s="4">
        <v>46280</v>
      </c>
      <c r="C226" s="3" t="s">
        <v>30</v>
      </c>
      <c r="D226" s="3" t="s">
        <v>23</v>
      </c>
      <c r="E226" s="3" t="s">
        <v>32</v>
      </c>
      <c r="F226" s="3">
        <v>222</v>
      </c>
      <c r="G226" s="3">
        <v>218</v>
      </c>
      <c r="H226" s="3">
        <v>4</v>
      </c>
      <c r="I226" s="5">
        <f t="shared" si="19"/>
        <v>1.8018018018018018E-2</v>
      </c>
      <c r="J226" s="6">
        <f t="shared" si="24"/>
        <v>18018.018018018018</v>
      </c>
      <c r="K226" s="7">
        <v>1.66</v>
      </c>
      <c r="L226" s="3">
        <v>406</v>
      </c>
      <c r="M226" s="3">
        <v>450</v>
      </c>
      <c r="N226" s="3">
        <v>44</v>
      </c>
      <c r="O226" s="5">
        <f t="shared" si="20"/>
        <v>0.90222222222222226</v>
      </c>
      <c r="P226" s="5">
        <f t="shared" si="21"/>
        <v>0.90768472906403941</v>
      </c>
      <c r="Q226" s="5">
        <f t="shared" si="22"/>
        <v>0.98198198198198194</v>
      </c>
      <c r="R226" s="5">
        <f t="shared" si="23"/>
        <v>0.80417777777777777</v>
      </c>
    </row>
    <row r="227" spans="1:18" x14ac:dyDescent="0.25">
      <c r="A227" s="3">
        <v>223</v>
      </c>
      <c r="B227" s="4">
        <v>46280</v>
      </c>
      <c r="C227" s="3" t="s">
        <v>33</v>
      </c>
      <c r="D227" s="3" t="s">
        <v>19</v>
      </c>
      <c r="E227" s="3" t="s">
        <v>27</v>
      </c>
      <c r="F227" s="3">
        <v>274</v>
      </c>
      <c r="G227" s="3">
        <v>269</v>
      </c>
      <c r="H227" s="3">
        <v>5</v>
      </c>
      <c r="I227" s="5">
        <f t="shared" si="19"/>
        <v>1.824817518248175E-2</v>
      </c>
      <c r="J227" s="6">
        <f t="shared" si="24"/>
        <v>18248.175182481751</v>
      </c>
      <c r="K227" s="7">
        <v>1.28</v>
      </c>
      <c r="L227" s="3">
        <v>433</v>
      </c>
      <c r="M227" s="3">
        <v>450</v>
      </c>
      <c r="N227" s="3">
        <v>17</v>
      </c>
      <c r="O227" s="5">
        <f t="shared" si="20"/>
        <v>0.9622222222222222</v>
      </c>
      <c r="P227" s="5">
        <f t="shared" si="21"/>
        <v>0.80997690531177835</v>
      </c>
      <c r="Q227" s="5">
        <f t="shared" si="22"/>
        <v>0.98175182481751821</v>
      </c>
      <c r="R227" s="5">
        <f t="shared" si="23"/>
        <v>0.76515555555555559</v>
      </c>
    </row>
    <row r="228" spans="1:18" x14ac:dyDescent="0.25">
      <c r="A228" s="3">
        <v>224</v>
      </c>
      <c r="B228" s="4">
        <v>46280</v>
      </c>
      <c r="C228" s="3" t="s">
        <v>33</v>
      </c>
      <c r="D228" s="3" t="s">
        <v>21</v>
      </c>
      <c r="E228" s="3" t="s">
        <v>26</v>
      </c>
      <c r="F228" s="3">
        <v>510</v>
      </c>
      <c r="G228" s="3">
        <v>500</v>
      </c>
      <c r="H228" s="3">
        <v>10</v>
      </c>
      <c r="I228" s="5">
        <f t="shared" si="19"/>
        <v>1.9607843137254902E-2</v>
      </c>
      <c r="J228" s="6">
        <f t="shared" si="24"/>
        <v>19607.843137254902</v>
      </c>
      <c r="K228" s="7">
        <v>0.8</v>
      </c>
      <c r="L228" s="3">
        <v>412</v>
      </c>
      <c r="M228" s="3">
        <v>450</v>
      </c>
      <c r="N228" s="3">
        <v>38</v>
      </c>
      <c r="O228" s="5">
        <f t="shared" si="20"/>
        <v>0.91555555555555557</v>
      </c>
      <c r="P228" s="5">
        <f t="shared" si="21"/>
        <v>0.99029126213592233</v>
      </c>
      <c r="Q228" s="5">
        <f t="shared" si="22"/>
        <v>0.98039215686274506</v>
      </c>
      <c r="R228" s="5">
        <f t="shared" si="23"/>
        <v>0.88888888888888895</v>
      </c>
    </row>
    <row r="229" spans="1:18" x14ac:dyDescent="0.25">
      <c r="A229" s="3">
        <v>225</v>
      </c>
      <c r="B229" s="4">
        <v>46280</v>
      </c>
      <c r="C229" s="3" t="s">
        <v>33</v>
      </c>
      <c r="D229" s="3" t="s">
        <v>23</v>
      </c>
      <c r="E229" s="3" t="s">
        <v>27</v>
      </c>
      <c r="F229" s="3">
        <v>245</v>
      </c>
      <c r="G229" s="3">
        <v>243</v>
      </c>
      <c r="H229" s="3">
        <v>2</v>
      </c>
      <c r="I229" s="5">
        <f t="shared" si="19"/>
        <v>8.1632653061224497E-3</v>
      </c>
      <c r="J229" s="6">
        <f t="shared" si="24"/>
        <v>8163.2653061224501</v>
      </c>
      <c r="K229" s="7">
        <v>1.54</v>
      </c>
      <c r="L229" s="3">
        <v>391</v>
      </c>
      <c r="M229" s="3">
        <v>450</v>
      </c>
      <c r="N229" s="3">
        <v>59</v>
      </c>
      <c r="O229" s="5">
        <f t="shared" si="20"/>
        <v>0.86888888888888893</v>
      </c>
      <c r="P229" s="5">
        <f t="shared" si="21"/>
        <v>0.96496163682864455</v>
      </c>
      <c r="Q229" s="5">
        <f t="shared" si="22"/>
        <v>0.99183673469387756</v>
      </c>
      <c r="R229" s="5">
        <f t="shared" si="23"/>
        <v>0.83160000000000012</v>
      </c>
    </row>
    <row r="230" spans="1:18" x14ac:dyDescent="0.25">
      <c r="A230" s="3">
        <v>226</v>
      </c>
      <c r="B230" s="4">
        <v>46281</v>
      </c>
      <c r="C230" s="3" t="s">
        <v>18</v>
      </c>
      <c r="D230" s="3" t="s">
        <v>19</v>
      </c>
      <c r="E230" s="3" t="s">
        <v>29</v>
      </c>
      <c r="F230" s="3">
        <v>223</v>
      </c>
      <c r="G230" s="3">
        <v>220</v>
      </c>
      <c r="H230" s="3">
        <v>3</v>
      </c>
      <c r="I230" s="5">
        <f t="shared" si="19"/>
        <v>1.3452914798206279E-2</v>
      </c>
      <c r="J230" s="6">
        <f t="shared" si="24"/>
        <v>13452.914798206279</v>
      </c>
      <c r="K230" s="7">
        <v>1.69</v>
      </c>
      <c r="L230" s="3">
        <v>419</v>
      </c>
      <c r="M230" s="3">
        <v>450</v>
      </c>
      <c r="N230" s="3">
        <v>31</v>
      </c>
      <c r="O230" s="5">
        <f t="shared" si="20"/>
        <v>0.93111111111111111</v>
      </c>
      <c r="P230" s="5">
        <f t="shared" si="21"/>
        <v>0.89945107398568025</v>
      </c>
      <c r="Q230" s="5">
        <f t="shared" si="22"/>
        <v>0.98654708520179368</v>
      </c>
      <c r="R230" s="5">
        <f t="shared" si="23"/>
        <v>0.8262222222222223</v>
      </c>
    </row>
    <row r="231" spans="1:18" x14ac:dyDescent="0.25">
      <c r="A231" s="3">
        <v>227</v>
      </c>
      <c r="B231" s="4">
        <v>46281</v>
      </c>
      <c r="C231" s="3" t="s">
        <v>18</v>
      </c>
      <c r="D231" s="3" t="s">
        <v>21</v>
      </c>
      <c r="E231" s="3" t="s">
        <v>35</v>
      </c>
      <c r="F231" s="3">
        <v>529</v>
      </c>
      <c r="G231" s="3">
        <v>511</v>
      </c>
      <c r="H231" s="3">
        <v>18</v>
      </c>
      <c r="I231" s="5">
        <f t="shared" si="19"/>
        <v>3.4026465028355386E-2</v>
      </c>
      <c r="J231" s="6">
        <f t="shared" si="24"/>
        <v>34026.465028355386</v>
      </c>
      <c r="K231" s="7">
        <v>0.7</v>
      </c>
      <c r="L231" s="3">
        <v>425</v>
      </c>
      <c r="M231" s="3">
        <v>450</v>
      </c>
      <c r="N231" s="3">
        <v>25</v>
      </c>
      <c r="O231" s="5">
        <f t="shared" si="20"/>
        <v>0.94444444444444442</v>
      </c>
      <c r="P231" s="5">
        <f t="shared" si="21"/>
        <v>0.87129411764705866</v>
      </c>
      <c r="Q231" s="5">
        <f t="shared" si="22"/>
        <v>0.96597353497164462</v>
      </c>
      <c r="R231" s="5">
        <f t="shared" si="23"/>
        <v>0.79488888888888865</v>
      </c>
    </row>
    <row r="232" spans="1:18" x14ac:dyDescent="0.25">
      <c r="A232" s="3">
        <v>228</v>
      </c>
      <c r="B232" s="4">
        <v>46281</v>
      </c>
      <c r="C232" s="3" t="s">
        <v>18</v>
      </c>
      <c r="D232" s="3" t="s">
        <v>23</v>
      </c>
      <c r="E232" s="3" t="s">
        <v>29</v>
      </c>
      <c r="F232" s="3">
        <v>234</v>
      </c>
      <c r="G232" s="3">
        <v>228</v>
      </c>
      <c r="H232" s="3">
        <v>6</v>
      </c>
      <c r="I232" s="5">
        <f t="shared" si="19"/>
        <v>2.564102564102564E-2</v>
      </c>
      <c r="J232" s="6">
        <f t="shared" si="24"/>
        <v>25641.025641025641</v>
      </c>
      <c r="K232" s="7">
        <v>1.73</v>
      </c>
      <c r="L232" s="3">
        <v>429</v>
      </c>
      <c r="M232" s="3">
        <v>450</v>
      </c>
      <c r="N232" s="3">
        <v>21</v>
      </c>
      <c r="O232" s="5">
        <f t="shared" si="20"/>
        <v>0.95333333333333337</v>
      </c>
      <c r="P232" s="5">
        <f t="shared" si="21"/>
        <v>0.94363636363636361</v>
      </c>
      <c r="Q232" s="5">
        <f t="shared" si="22"/>
        <v>0.97435897435897434</v>
      </c>
      <c r="R232" s="5">
        <f t="shared" si="23"/>
        <v>0.87653333333333328</v>
      </c>
    </row>
    <row r="233" spans="1:18" x14ac:dyDescent="0.25">
      <c r="A233" s="3">
        <v>229</v>
      </c>
      <c r="B233" s="4">
        <v>46281</v>
      </c>
      <c r="C233" s="3" t="s">
        <v>25</v>
      </c>
      <c r="D233" s="3" t="s">
        <v>19</v>
      </c>
      <c r="E233" s="3" t="s">
        <v>29</v>
      </c>
      <c r="F233" s="3">
        <v>402</v>
      </c>
      <c r="G233" s="3">
        <v>396</v>
      </c>
      <c r="H233" s="3">
        <v>6</v>
      </c>
      <c r="I233" s="5">
        <f t="shared" si="19"/>
        <v>1.4925373134328358E-2</v>
      </c>
      <c r="J233" s="6">
        <f t="shared" si="24"/>
        <v>14925.373134328358</v>
      </c>
      <c r="K233" s="7">
        <v>1</v>
      </c>
      <c r="L233" s="3">
        <v>406</v>
      </c>
      <c r="M233" s="3">
        <v>450</v>
      </c>
      <c r="N233" s="3">
        <v>44</v>
      </c>
      <c r="O233" s="5">
        <f t="shared" si="20"/>
        <v>0.90222222222222226</v>
      </c>
      <c r="P233" s="5">
        <f t="shared" si="21"/>
        <v>0.99014778325123154</v>
      </c>
      <c r="Q233" s="5">
        <f t="shared" si="22"/>
        <v>0.9850746268656716</v>
      </c>
      <c r="R233" s="5">
        <f t="shared" si="23"/>
        <v>0.88</v>
      </c>
    </row>
    <row r="234" spans="1:18" x14ac:dyDescent="0.25">
      <c r="A234" s="3">
        <v>230</v>
      </c>
      <c r="B234" s="4">
        <v>46281</v>
      </c>
      <c r="C234" s="3" t="s">
        <v>25</v>
      </c>
      <c r="D234" s="3" t="s">
        <v>21</v>
      </c>
      <c r="E234" s="3" t="s">
        <v>24</v>
      </c>
      <c r="F234" s="3">
        <v>200</v>
      </c>
      <c r="G234" s="3">
        <v>193</v>
      </c>
      <c r="H234" s="3">
        <v>7</v>
      </c>
      <c r="I234" s="5">
        <f t="shared" si="19"/>
        <v>3.5000000000000003E-2</v>
      </c>
      <c r="J234" s="6">
        <f t="shared" si="24"/>
        <v>35000</v>
      </c>
      <c r="K234" s="7">
        <v>1.73</v>
      </c>
      <c r="L234" s="3">
        <v>395</v>
      </c>
      <c r="M234" s="3">
        <v>450</v>
      </c>
      <c r="N234" s="3">
        <v>55</v>
      </c>
      <c r="O234" s="5">
        <f t="shared" si="20"/>
        <v>0.87777777777777777</v>
      </c>
      <c r="P234" s="5">
        <f t="shared" si="21"/>
        <v>0.8759493670886076</v>
      </c>
      <c r="Q234" s="5">
        <f t="shared" si="22"/>
        <v>0.96499999999999997</v>
      </c>
      <c r="R234" s="5">
        <f t="shared" si="23"/>
        <v>0.74197777777777774</v>
      </c>
    </row>
    <row r="235" spans="1:18" x14ac:dyDescent="0.25">
      <c r="A235" s="3">
        <v>231</v>
      </c>
      <c r="B235" s="4">
        <v>46281</v>
      </c>
      <c r="C235" s="3" t="s">
        <v>25</v>
      </c>
      <c r="D235" s="3" t="s">
        <v>23</v>
      </c>
      <c r="E235" s="3" t="s">
        <v>27</v>
      </c>
      <c r="F235" s="3">
        <v>187</v>
      </c>
      <c r="G235" s="3">
        <v>182</v>
      </c>
      <c r="H235" s="3">
        <v>5</v>
      </c>
      <c r="I235" s="5">
        <f t="shared" si="19"/>
        <v>2.6737967914438502E-2</v>
      </c>
      <c r="J235" s="6">
        <f t="shared" si="24"/>
        <v>26737.967914438501</v>
      </c>
      <c r="K235" s="7">
        <v>1.75</v>
      </c>
      <c r="L235" s="3">
        <v>400</v>
      </c>
      <c r="M235" s="3">
        <v>450</v>
      </c>
      <c r="N235" s="3">
        <v>50</v>
      </c>
      <c r="O235" s="5">
        <f t="shared" si="20"/>
        <v>0.88888888888888884</v>
      </c>
      <c r="P235" s="5">
        <f t="shared" si="21"/>
        <v>0.81812499999999999</v>
      </c>
      <c r="Q235" s="5">
        <f t="shared" si="22"/>
        <v>0.9732620320855615</v>
      </c>
      <c r="R235" s="5">
        <f t="shared" si="23"/>
        <v>0.70777777777777773</v>
      </c>
    </row>
    <row r="236" spans="1:18" x14ac:dyDescent="0.25">
      <c r="A236" s="3">
        <v>232</v>
      </c>
      <c r="B236" s="4">
        <v>46281</v>
      </c>
      <c r="C236" s="3" t="s">
        <v>28</v>
      </c>
      <c r="D236" s="3" t="s">
        <v>19</v>
      </c>
      <c r="E236" s="3" t="s">
        <v>24</v>
      </c>
      <c r="F236" s="3">
        <v>757</v>
      </c>
      <c r="G236" s="3">
        <v>746</v>
      </c>
      <c r="H236" s="3">
        <v>11</v>
      </c>
      <c r="I236" s="5">
        <f t="shared" si="19"/>
        <v>1.4531043593130779E-2</v>
      </c>
      <c r="J236" s="6">
        <f t="shared" si="24"/>
        <v>14531.043593130778</v>
      </c>
      <c r="K236" s="7">
        <v>0.52</v>
      </c>
      <c r="L236" s="3">
        <v>403</v>
      </c>
      <c r="M236" s="3">
        <v>450</v>
      </c>
      <c r="N236" s="3">
        <v>47</v>
      </c>
      <c r="O236" s="5">
        <f t="shared" si="20"/>
        <v>0.89555555555555555</v>
      </c>
      <c r="P236" s="5">
        <f t="shared" si="21"/>
        <v>0.97677419354838702</v>
      </c>
      <c r="Q236" s="5">
        <f t="shared" si="22"/>
        <v>0.98546895640686927</v>
      </c>
      <c r="R236" s="5">
        <f t="shared" si="23"/>
        <v>0.86204444444444439</v>
      </c>
    </row>
    <row r="237" spans="1:18" x14ac:dyDescent="0.25">
      <c r="A237" s="3">
        <v>233</v>
      </c>
      <c r="B237" s="4">
        <v>46281</v>
      </c>
      <c r="C237" s="3" t="s">
        <v>28</v>
      </c>
      <c r="D237" s="3" t="s">
        <v>21</v>
      </c>
      <c r="E237" s="3" t="s">
        <v>34</v>
      </c>
      <c r="F237" s="3">
        <v>240</v>
      </c>
      <c r="G237" s="3">
        <v>235</v>
      </c>
      <c r="H237" s="3">
        <v>5</v>
      </c>
      <c r="I237" s="5">
        <f t="shared" si="19"/>
        <v>2.0833333333333332E-2</v>
      </c>
      <c r="J237" s="6">
        <f t="shared" si="24"/>
        <v>20833.333333333332</v>
      </c>
      <c r="K237" s="7">
        <v>1.36</v>
      </c>
      <c r="L237" s="3">
        <v>396</v>
      </c>
      <c r="M237" s="3">
        <v>450</v>
      </c>
      <c r="N237" s="3">
        <v>54</v>
      </c>
      <c r="O237" s="5">
        <f t="shared" si="20"/>
        <v>0.88</v>
      </c>
      <c r="P237" s="5">
        <f t="shared" si="21"/>
        <v>0.82424242424242433</v>
      </c>
      <c r="Q237" s="5">
        <f t="shared" si="22"/>
        <v>0.97916666666666663</v>
      </c>
      <c r="R237" s="5">
        <f t="shared" si="23"/>
        <v>0.7102222222222222</v>
      </c>
    </row>
    <row r="238" spans="1:18" x14ac:dyDescent="0.25">
      <c r="A238" s="3">
        <v>234</v>
      </c>
      <c r="B238" s="4">
        <v>46281</v>
      </c>
      <c r="C238" s="3" t="s">
        <v>28</v>
      </c>
      <c r="D238" s="3" t="s">
        <v>23</v>
      </c>
      <c r="E238" s="3" t="s">
        <v>24</v>
      </c>
      <c r="F238" s="3">
        <v>267</v>
      </c>
      <c r="G238" s="3">
        <v>264</v>
      </c>
      <c r="H238" s="3">
        <v>3</v>
      </c>
      <c r="I238" s="5">
        <f t="shared" si="19"/>
        <v>1.1235955056179775E-2</v>
      </c>
      <c r="J238" s="6">
        <f t="shared" si="24"/>
        <v>11235.955056179775</v>
      </c>
      <c r="K238" s="7">
        <v>1.29</v>
      </c>
      <c r="L238" s="3">
        <v>390</v>
      </c>
      <c r="M238" s="3">
        <v>450</v>
      </c>
      <c r="N238" s="3">
        <v>60</v>
      </c>
      <c r="O238" s="5">
        <f t="shared" si="20"/>
        <v>0.8666666666666667</v>
      </c>
      <c r="P238" s="5">
        <f t="shared" si="21"/>
        <v>0.88315384615384618</v>
      </c>
      <c r="Q238" s="5">
        <f t="shared" si="22"/>
        <v>0.9887640449438202</v>
      </c>
      <c r="R238" s="5">
        <f t="shared" si="23"/>
        <v>0.75680000000000003</v>
      </c>
    </row>
    <row r="239" spans="1:18" x14ac:dyDescent="0.25">
      <c r="A239" s="3">
        <v>235</v>
      </c>
      <c r="B239" s="4">
        <v>46281</v>
      </c>
      <c r="C239" s="3" t="s">
        <v>30</v>
      </c>
      <c r="D239" s="3" t="s">
        <v>19</v>
      </c>
      <c r="E239" s="3" t="s">
        <v>35</v>
      </c>
      <c r="F239" s="3">
        <v>956</v>
      </c>
      <c r="G239" s="3">
        <v>930</v>
      </c>
      <c r="H239" s="3">
        <v>26</v>
      </c>
      <c r="I239" s="5">
        <f t="shared" si="19"/>
        <v>2.7196652719665274E-2</v>
      </c>
      <c r="J239" s="6">
        <f t="shared" si="24"/>
        <v>27196.652719665275</v>
      </c>
      <c r="K239" s="7">
        <v>0.39</v>
      </c>
      <c r="L239" s="3">
        <v>396</v>
      </c>
      <c r="M239" s="3">
        <v>450</v>
      </c>
      <c r="N239" s="3">
        <v>54</v>
      </c>
      <c r="O239" s="5">
        <f t="shared" si="20"/>
        <v>0.88</v>
      </c>
      <c r="P239" s="5">
        <f t="shared" si="21"/>
        <v>0.94151515151515164</v>
      </c>
      <c r="Q239" s="5">
        <f t="shared" si="22"/>
        <v>0.97280334728033468</v>
      </c>
      <c r="R239" s="5">
        <f t="shared" si="23"/>
        <v>0.80600000000000005</v>
      </c>
    </row>
    <row r="240" spans="1:18" x14ac:dyDescent="0.25">
      <c r="A240" s="3">
        <v>236</v>
      </c>
      <c r="B240" s="4">
        <v>46281</v>
      </c>
      <c r="C240" s="3" t="s">
        <v>30</v>
      </c>
      <c r="D240" s="3" t="s">
        <v>21</v>
      </c>
      <c r="E240" s="3" t="s">
        <v>20</v>
      </c>
      <c r="F240" s="3">
        <v>647</v>
      </c>
      <c r="G240" s="3">
        <v>635</v>
      </c>
      <c r="H240" s="3">
        <v>12</v>
      </c>
      <c r="I240" s="5">
        <f t="shared" si="19"/>
        <v>1.8547140649149921E-2</v>
      </c>
      <c r="J240" s="6">
        <f t="shared" si="24"/>
        <v>18547.140649149922</v>
      </c>
      <c r="K240" s="7">
        <v>0.57999999999999996</v>
      </c>
      <c r="L240" s="3">
        <v>421</v>
      </c>
      <c r="M240" s="3">
        <v>450</v>
      </c>
      <c r="N240" s="3">
        <v>29</v>
      </c>
      <c r="O240" s="5">
        <f t="shared" si="20"/>
        <v>0.93555555555555558</v>
      </c>
      <c r="P240" s="5">
        <f t="shared" si="21"/>
        <v>0.89135391923990492</v>
      </c>
      <c r="Q240" s="5">
        <f t="shared" si="22"/>
        <v>0.98145285935085003</v>
      </c>
      <c r="R240" s="5">
        <f t="shared" si="23"/>
        <v>0.81844444444444431</v>
      </c>
    </row>
    <row r="241" spans="1:18" x14ac:dyDescent="0.25">
      <c r="A241" s="3">
        <v>237</v>
      </c>
      <c r="B241" s="4">
        <v>46281</v>
      </c>
      <c r="C241" s="3" t="s">
        <v>30</v>
      </c>
      <c r="D241" s="3" t="s">
        <v>23</v>
      </c>
      <c r="E241" s="3" t="s">
        <v>34</v>
      </c>
      <c r="F241" s="3">
        <v>489</v>
      </c>
      <c r="G241" s="3">
        <v>476</v>
      </c>
      <c r="H241" s="3">
        <v>13</v>
      </c>
      <c r="I241" s="5">
        <f t="shared" si="19"/>
        <v>2.6584867075664622E-2</v>
      </c>
      <c r="J241" s="6">
        <f t="shared" si="24"/>
        <v>26584.867075664621</v>
      </c>
      <c r="K241" s="7">
        <v>0.75</v>
      </c>
      <c r="L241" s="3">
        <v>428</v>
      </c>
      <c r="M241" s="3">
        <v>450</v>
      </c>
      <c r="N241" s="3">
        <v>22</v>
      </c>
      <c r="O241" s="5">
        <f t="shared" si="20"/>
        <v>0.95111111111111113</v>
      </c>
      <c r="P241" s="5">
        <f t="shared" si="21"/>
        <v>0.85689252336448596</v>
      </c>
      <c r="Q241" s="5">
        <f t="shared" si="22"/>
        <v>0.97341513292433535</v>
      </c>
      <c r="R241" s="5">
        <f t="shared" si="23"/>
        <v>0.79333333333333322</v>
      </c>
    </row>
    <row r="242" spans="1:18" x14ac:dyDescent="0.25">
      <c r="A242" s="3">
        <v>238</v>
      </c>
      <c r="B242" s="4">
        <v>46281</v>
      </c>
      <c r="C242" s="3" t="s">
        <v>33</v>
      </c>
      <c r="D242" s="3" t="s">
        <v>19</v>
      </c>
      <c r="E242" s="3" t="s">
        <v>20</v>
      </c>
      <c r="F242" s="3">
        <v>217</v>
      </c>
      <c r="G242" s="3">
        <v>211</v>
      </c>
      <c r="H242" s="3">
        <v>6</v>
      </c>
      <c r="I242" s="5">
        <f t="shared" si="19"/>
        <v>2.7649769585253458E-2</v>
      </c>
      <c r="J242" s="6">
        <f t="shared" si="24"/>
        <v>27649.769585253456</v>
      </c>
      <c r="K242" s="7">
        <v>1.69</v>
      </c>
      <c r="L242" s="3">
        <v>401</v>
      </c>
      <c r="M242" s="3">
        <v>450</v>
      </c>
      <c r="N242" s="3">
        <v>49</v>
      </c>
      <c r="O242" s="5">
        <f t="shared" si="20"/>
        <v>0.89111111111111108</v>
      </c>
      <c r="P242" s="5">
        <f t="shared" si="21"/>
        <v>0.91453865336658346</v>
      </c>
      <c r="Q242" s="5">
        <f t="shared" si="22"/>
        <v>0.97235023041474655</v>
      </c>
      <c r="R242" s="5">
        <f t="shared" si="23"/>
        <v>0.79242222222222214</v>
      </c>
    </row>
    <row r="243" spans="1:18" x14ac:dyDescent="0.25">
      <c r="A243" s="3">
        <v>239</v>
      </c>
      <c r="B243" s="4">
        <v>46281</v>
      </c>
      <c r="C243" s="3" t="s">
        <v>33</v>
      </c>
      <c r="D243" s="3" t="s">
        <v>21</v>
      </c>
      <c r="E243" s="3" t="s">
        <v>27</v>
      </c>
      <c r="F243" s="3">
        <v>708</v>
      </c>
      <c r="G243" s="3">
        <v>683</v>
      </c>
      <c r="H243" s="3">
        <v>25</v>
      </c>
      <c r="I243" s="5">
        <f t="shared" si="19"/>
        <v>3.5310734463276837E-2</v>
      </c>
      <c r="J243" s="6">
        <f t="shared" si="24"/>
        <v>35310.734463276836</v>
      </c>
      <c r="K243" s="7">
        <v>0.46</v>
      </c>
      <c r="L243" s="3">
        <v>405</v>
      </c>
      <c r="M243" s="3">
        <v>450</v>
      </c>
      <c r="N243" s="3">
        <v>45</v>
      </c>
      <c r="O243" s="5">
        <f t="shared" si="20"/>
        <v>0.9</v>
      </c>
      <c r="P243" s="5">
        <f t="shared" si="21"/>
        <v>0.80414814814814817</v>
      </c>
      <c r="Q243" s="5">
        <f t="shared" si="22"/>
        <v>0.96468926553672318</v>
      </c>
      <c r="R243" s="5">
        <f t="shared" si="23"/>
        <v>0.69817777777777779</v>
      </c>
    </row>
    <row r="244" spans="1:18" x14ac:dyDescent="0.25">
      <c r="A244" s="3">
        <v>240</v>
      </c>
      <c r="B244" s="4">
        <v>46281</v>
      </c>
      <c r="C244" s="3" t="s">
        <v>33</v>
      </c>
      <c r="D244" s="3" t="s">
        <v>23</v>
      </c>
      <c r="E244" s="3" t="s">
        <v>26</v>
      </c>
      <c r="F244" s="3">
        <v>230</v>
      </c>
      <c r="G244" s="3">
        <v>227</v>
      </c>
      <c r="H244" s="3">
        <v>3</v>
      </c>
      <c r="I244" s="5">
        <f t="shared" si="19"/>
        <v>1.3043478260869565E-2</v>
      </c>
      <c r="J244" s="6">
        <f t="shared" si="24"/>
        <v>13043.478260869564</v>
      </c>
      <c r="K244" s="7">
        <v>1.56</v>
      </c>
      <c r="L244" s="3">
        <v>435</v>
      </c>
      <c r="M244" s="3">
        <v>450</v>
      </c>
      <c r="N244" s="3">
        <v>15</v>
      </c>
      <c r="O244" s="5">
        <f t="shared" si="20"/>
        <v>0.96666666666666667</v>
      </c>
      <c r="P244" s="5">
        <f t="shared" si="21"/>
        <v>0.82482758620689656</v>
      </c>
      <c r="Q244" s="5">
        <f t="shared" si="22"/>
        <v>0.9869565217391304</v>
      </c>
      <c r="R244" s="5">
        <f t="shared" si="23"/>
        <v>0.78693333333333326</v>
      </c>
    </row>
    <row r="245" spans="1:18" x14ac:dyDescent="0.25">
      <c r="A245" s="3">
        <v>241</v>
      </c>
      <c r="B245" s="4">
        <v>46282</v>
      </c>
      <c r="C245" s="3" t="s">
        <v>18</v>
      </c>
      <c r="D245" s="3" t="s">
        <v>19</v>
      </c>
      <c r="E245" s="3" t="s">
        <v>32</v>
      </c>
      <c r="F245" s="3">
        <v>492</v>
      </c>
      <c r="G245" s="3">
        <v>476</v>
      </c>
      <c r="H245" s="3">
        <v>16</v>
      </c>
      <c r="I245" s="5">
        <f t="shared" si="19"/>
        <v>3.2520325203252036E-2</v>
      </c>
      <c r="J245" s="6">
        <f t="shared" si="24"/>
        <v>32520.325203252036</v>
      </c>
      <c r="K245" s="7">
        <v>0.82</v>
      </c>
      <c r="L245" s="3">
        <v>432</v>
      </c>
      <c r="M245" s="3">
        <v>450</v>
      </c>
      <c r="N245" s="3">
        <v>18</v>
      </c>
      <c r="O245" s="5">
        <f t="shared" si="20"/>
        <v>0.96</v>
      </c>
      <c r="P245" s="5">
        <f t="shared" si="21"/>
        <v>0.93388888888888888</v>
      </c>
      <c r="Q245" s="5">
        <f t="shared" si="22"/>
        <v>0.96747967479674801</v>
      </c>
      <c r="R245" s="5">
        <f t="shared" si="23"/>
        <v>0.8673777777777778</v>
      </c>
    </row>
    <row r="246" spans="1:18" x14ac:dyDescent="0.25">
      <c r="A246" s="3">
        <v>242</v>
      </c>
      <c r="B246" s="4">
        <v>46282</v>
      </c>
      <c r="C246" s="3" t="s">
        <v>18</v>
      </c>
      <c r="D246" s="3" t="s">
        <v>21</v>
      </c>
      <c r="E246" s="3" t="s">
        <v>29</v>
      </c>
      <c r="F246" s="3">
        <v>210</v>
      </c>
      <c r="G246" s="3">
        <v>204</v>
      </c>
      <c r="H246" s="3">
        <v>6</v>
      </c>
      <c r="I246" s="5">
        <f t="shared" si="19"/>
        <v>2.8571428571428571E-2</v>
      </c>
      <c r="J246" s="6">
        <f t="shared" si="24"/>
        <v>28571.428571428569</v>
      </c>
      <c r="K246" s="7">
        <v>1.66</v>
      </c>
      <c r="L246" s="3">
        <v>409</v>
      </c>
      <c r="M246" s="3">
        <v>450</v>
      </c>
      <c r="N246" s="3">
        <v>41</v>
      </c>
      <c r="O246" s="5">
        <f t="shared" si="20"/>
        <v>0.90888888888888886</v>
      </c>
      <c r="P246" s="5">
        <f t="shared" si="21"/>
        <v>0.85232273838630801</v>
      </c>
      <c r="Q246" s="5">
        <f t="shared" si="22"/>
        <v>0.97142857142857142</v>
      </c>
      <c r="R246" s="5">
        <f t="shared" si="23"/>
        <v>0.75253333333333328</v>
      </c>
    </row>
    <row r="247" spans="1:18" x14ac:dyDescent="0.25">
      <c r="A247" s="3">
        <v>243</v>
      </c>
      <c r="B247" s="4">
        <v>46282</v>
      </c>
      <c r="C247" s="3" t="s">
        <v>18</v>
      </c>
      <c r="D247" s="3" t="s">
        <v>23</v>
      </c>
      <c r="E247" s="3" t="s">
        <v>35</v>
      </c>
      <c r="F247" s="3">
        <v>361</v>
      </c>
      <c r="G247" s="3">
        <v>358</v>
      </c>
      <c r="H247" s="3">
        <v>3</v>
      </c>
      <c r="I247" s="5">
        <f t="shared" si="19"/>
        <v>8.3102493074792248E-3</v>
      </c>
      <c r="J247" s="6">
        <f t="shared" si="24"/>
        <v>8310.2493074792255</v>
      </c>
      <c r="K247" s="7">
        <v>1.1599999999999999</v>
      </c>
      <c r="L247" s="3">
        <v>417</v>
      </c>
      <c r="M247" s="3">
        <v>450</v>
      </c>
      <c r="N247" s="3">
        <v>33</v>
      </c>
      <c r="O247" s="5">
        <f t="shared" si="20"/>
        <v>0.92666666666666664</v>
      </c>
      <c r="P247" s="5">
        <f t="shared" si="21"/>
        <v>1.004220623501199</v>
      </c>
      <c r="Q247" s="5">
        <f t="shared" si="22"/>
        <v>0.99168975069252074</v>
      </c>
      <c r="R247" s="5">
        <f t="shared" si="23"/>
        <v>0.92284444444444436</v>
      </c>
    </row>
    <row r="248" spans="1:18" x14ac:dyDescent="0.25">
      <c r="A248" s="3">
        <v>244</v>
      </c>
      <c r="B248" s="4">
        <v>46282</v>
      </c>
      <c r="C248" s="3" t="s">
        <v>25</v>
      </c>
      <c r="D248" s="3" t="s">
        <v>19</v>
      </c>
      <c r="E248" s="3" t="s">
        <v>20</v>
      </c>
      <c r="F248" s="3">
        <v>297</v>
      </c>
      <c r="G248" s="3">
        <v>285</v>
      </c>
      <c r="H248" s="3">
        <v>12</v>
      </c>
      <c r="I248" s="5">
        <f t="shared" si="19"/>
        <v>4.0404040404040407E-2</v>
      </c>
      <c r="J248" s="6">
        <f t="shared" si="24"/>
        <v>40404.04040404041</v>
      </c>
      <c r="K248" s="7">
        <v>1.38</v>
      </c>
      <c r="L248" s="3">
        <v>427</v>
      </c>
      <c r="M248" s="3">
        <v>450</v>
      </c>
      <c r="N248" s="3">
        <v>23</v>
      </c>
      <c r="O248" s="5">
        <f t="shared" si="20"/>
        <v>0.94888888888888889</v>
      </c>
      <c r="P248" s="5">
        <f t="shared" si="21"/>
        <v>0.95985948477751748</v>
      </c>
      <c r="Q248" s="5">
        <f t="shared" si="22"/>
        <v>0.95959595959595956</v>
      </c>
      <c r="R248" s="5">
        <f t="shared" si="23"/>
        <v>0.87399999999999989</v>
      </c>
    </row>
    <row r="249" spans="1:18" x14ac:dyDescent="0.25">
      <c r="A249" s="3">
        <v>245</v>
      </c>
      <c r="B249" s="4">
        <v>46282</v>
      </c>
      <c r="C249" s="3" t="s">
        <v>25</v>
      </c>
      <c r="D249" s="3" t="s">
        <v>21</v>
      </c>
      <c r="E249" s="3" t="s">
        <v>32</v>
      </c>
      <c r="F249" s="3">
        <v>382</v>
      </c>
      <c r="G249" s="3">
        <v>368</v>
      </c>
      <c r="H249" s="3">
        <v>14</v>
      </c>
      <c r="I249" s="5">
        <f t="shared" si="19"/>
        <v>3.6649214659685861E-2</v>
      </c>
      <c r="J249" s="6">
        <f t="shared" si="24"/>
        <v>36649.214659685858</v>
      </c>
      <c r="K249" s="7">
        <v>1.1000000000000001</v>
      </c>
      <c r="L249" s="3">
        <v>426</v>
      </c>
      <c r="M249" s="3">
        <v>450</v>
      </c>
      <c r="N249" s="3">
        <v>24</v>
      </c>
      <c r="O249" s="5">
        <f t="shared" si="20"/>
        <v>0.94666666666666666</v>
      </c>
      <c r="P249" s="5">
        <f t="shared" si="21"/>
        <v>0.98638497652582169</v>
      </c>
      <c r="Q249" s="5">
        <f t="shared" si="22"/>
        <v>0.96335078534031415</v>
      </c>
      <c r="R249" s="5">
        <f t="shared" si="23"/>
        <v>0.89955555555555566</v>
      </c>
    </row>
    <row r="250" spans="1:18" x14ac:dyDescent="0.25">
      <c r="A250" s="3">
        <v>246</v>
      </c>
      <c r="B250" s="4">
        <v>46282</v>
      </c>
      <c r="C250" s="3" t="s">
        <v>25</v>
      </c>
      <c r="D250" s="3" t="s">
        <v>23</v>
      </c>
      <c r="E250" s="3" t="s">
        <v>22</v>
      </c>
      <c r="F250" s="3">
        <v>383</v>
      </c>
      <c r="G250" s="3">
        <v>378</v>
      </c>
      <c r="H250" s="3">
        <v>5</v>
      </c>
      <c r="I250" s="5">
        <f t="shared" si="19"/>
        <v>1.3054830287206266E-2</v>
      </c>
      <c r="J250" s="6">
        <f t="shared" si="24"/>
        <v>13054.830287206265</v>
      </c>
      <c r="K250" s="7">
        <v>1.08</v>
      </c>
      <c r="L250" s="3">
        <v>426</v>
      </c>
      <c r="M250" s="3">
        <v>450</v>
      </c>
      <c r="N250" s="3">
        <v>24</v>
      </c>
      <c r="O250" s="5">
        <f t="shared" si="20"/>
        <v>0.94666666666666666</v>
      </c>
      <c r="P250" s="5">
        <f t="shared" si="21"/>
        <v>0.97098591549295787</v>
      </c>
      <c r="Q250" s="5">
        <f t="shared" si="22"/>
        <v>0.98694516971279378</v>
      </c>
      <c r="R250" s="5">
        <f t="shared" si="23"/>
        <v>0.90720000000000012</v>
      </c>
    </row>
    <row r="251" spans="1:18" x14ac:dyDescent="0.25">
      <c r="A251" s="3">
        <v>247</v>
      </c>
      <c r="B251" s="4">
        <v>46282</v>
      </c>
      <c r="C251" s="3" t="s">
        <v>28</v>
      </c>
      <c r="D251" s="3" t="s">
        <v>19</v>
      </c>
      <c r="E251" s="3" t="s">
        <v>24</v>
      </c>
      <c r="F251" s="3">
        <v>303</v>
      </c>
      <c r="G251" s="3">
        <v>296</v>
      </c>
      <c r="H251" s="3">
        <v>7</v>
      </c>
      <c r="I251" s="5">
        <f t="shared" si="19"/>
        <v>2.3102310231023101E-2</v>
      </c>
      <c r="J251" s="6">
        <f t="shared" si="24"/>
        <v>23102.310231023101</v>
      </c>
      <c r="K251" s="7">
        <v>1.2</v>
      </c>
      <c r="L251" s="3">
        <v>424</v>
      </c>
      <c r="M251" s="3">
        <v>450</v>
      </c>
      <c r="N251" s="3">
        <v>26</v>
      </c>
      <c r="O251" s="5">
        <f t="shared" si="20"/>
        <v>0.94222222222222218</v>
      </c>
      <c r="P251" s="5">
        <f t="shared" si="21"/>
        <v>0.85754716981132062</v>
      </c>
      <c r="Q251" s="5">
        <f t="shared" si="22"/>
        <v>0.97689768976897695</v>
      </c>
      <c r="R251" s="5">
        <f t="shared" si="23"/>
        <v>0.78933333333333322</v>
      </c>
    </row>
    <row r="252" spans="1:18" x14ac:dyDescent="0.25">
      <c r="A252" s="3">
        <v>248</v>
      </c>
      <c r="B252" s="4">
        <v>46282</v>
      </c>
      <c r="C252" s="3" t="s">
        <v>28</v>
      </c>
      <c r="D252" s="3" t="s">
        <v>21</v>
      </c>
      <c r="E252" s="3" t="s">
        <v>29</v>
      </c>
      <c r="F252" s="3">
        <v>222</v>
      </c>
      <c r="G252" s="3">
        <v>213</v>
      </c>
      <c r="H252" s="3">
        <v>9</v>
      </c>
      <c r="I252" s="5">
        <f t="shared" si="19"/>
        <v>4.0540540540540543E-2</v>
      </c>
      <c r="J252" s="6">
        <f t="shared" si="24"/>
        <v>40540.54054054054</v>
      </c>
      <c r="K252" s="7">
        <v>1.73</v>
      </c>
      <c r="L252" s="3">
        <v>393</v>
      </c>
      <c r="M252" s="3">
        <v>450</v>
      </c>
      <c r="N252" s="3">
        <v>57</v>
      </c>
      <c r="O252" s="5">
        <f t="shared" si="20"/>
        <v>0.87333333333333329</v>
      </c>
      <c r="P252" s="5">
        <f t="shared" si="21"/>
        <v>0.97725190839694653</v>
      </c>
      <c r="Q252" s="5">
        <f t="shared" si="22"/>
        <v>0.95945945945945943</v>
      </c>
      <c r="R252" s="5">
        <f t="shared" si="23"/>
        <v>0.81886666666666652</v>
      </c>
    </row>
    <row r="253" spans="1:18" x14ac:dyDescent="0.25">
      <c r="A253" s="3">
        <v>249</v>
      </c>
      <c r="B253" s="4">
        <v>46282</v>
      </c>
      <c r="C253" s="3" t="s">
        <v>28</v>
      </c>
      <c r="D253" s="3" t="s">
        <v>23</v>
      </c>
      <c r="E253" s="3" t="s">
        <v>20</v>
      </c>
      <c r="F253" s="3">
        <v>377</v>
      </c>
      <c r="G253" s="3">
        <v>368</v>
      </c>
      <c r="H253" s="3">
        <v>9</v>
      </c>
      <c r="I253" s="5">
        <f t="shared" si="19"/>
        <v>2.3872679045092837E-2</v>
      </c>
      <c r="J253" s="6">
        <f t="shared" si="24"/>
        <v>23872.679045092835</v>
      </c>
      <c r="K253" s="7">
        <v>0.91</v>
      </c>
      <c r="L253" s="3">
        <v>420</v>
      </c>
      <c r="M253" s="3">
        <v>450</v>
      </c>
      <c r="N253" s="3">
        <v>30</v>
      </c>
      <c r="O253" s="5">
        <f t="shared" si="20"/>
        <v>0.93333333333333335</v>
      </c>
      <c r="P253" s="5">
        <f t="shared" si="21"/>
        <v>0.8168333333333333</v>
      </c>
      <c r="Q253" s="5">
        <f t="shared" si="22"/>
        <v>0.97612732095490717</v>
      </c>
      <c r="R253" s="5">
        <f t="shared" si="23"/>
        <v>0.74417777777777772</v>
      </c>
    </row>
    <row r="254" spans="1:18" x14ac:dyDescent="0.25">
      <c r="A254" s="3">
        <v>250</v>
      </c>
      <c r="B254" s="4">
        <v>46282</v>
      </c>
      <c r="C254" s="3" t="s">
        <v>30</v>
      </c>
      <c r="D254" s="3" t="s">
        <v>19</v>
      </c>
      <c r="E254" s="3" t="s">
        <v>34</v>
      </c>
      <c r="F254" s="3">
        <v>362</v>
      </c>
      <c r="G254" s="3">
        <v>347</v>
      </c>
      <c r="H254" s="3">
        <v>15</v>
      </c>
      <c r="I254" s="5">
        <f t="shared" si="19"/>
        <v>4.1436464088397788E-2</v>
      </c>
      <c r="J254" s="6">
        <f t="shared" si="24"/>
        <v>41436.464088397792</v>
      </c>
      <c r="K254" s="7">
        <v>1.04</v>
      </c>
      <c r="L254" s="3">
        <v>385</v>
      </c>
      <c r="M254" s="3">
        <v>450</v>
      </c>
      <c r="N254" s="3">
        <v>65</v>
      </c>
      <c r="O254" s="5">
        <f t="shared" si="20"/>
        <v>0.85555555555555551</v>
      </c>
      <c r="P254" s="5">
        <f t="shared" si="21"/>
        <v>0.97787012987012989</v>
      </c>
      <c r="Q254" s="5">
        <f t="shared" si="22"/>
        <v>0.95856353591160226</v>
      </c>
      <c r="R254" s="5">
        <f t="shared" si="23"/>
        <v>0.80195555555555553</v>
      </c>
    </row>
    <row r="255" spans="1:18" x14ac:dyDescent="0.25">
      <c r="A255" s="3">
        <v>251</v>
      </c>
      <c r="B255" s="4">
        <v>46282</v>
      </c>
      <c r="C255" s="3" t="s">
        <v>30</v>
      </c>
      <c r="D255" s="3" t="s">
        <v>21</v>
      </c>
      <c r="E255" s="3" t="s">
        <v>35</v>
      </c>
      <c r="F255" s="3">
        <v>250</v>
      </c>
      <c r="G255" s="3">
        <v>244</v>
      </c>
      <c r="H255" s="3">
        <v>6</v>
      </c>
      <c r="I255" s="5">
        <f t="shared" si="19"/>
        <v>2.4E-2</v>
      </c>
      <c r="J255" s="6">
        <f t="shared" si="24"/>
        <v>24000</v>
      </c>
      <c r="K255" s="7">
        <v>1.41</v>
      </c>
      <c r="L255" s="3">
        <v>398</v>
      </c>
      <c r="M255" s="3">
        <v>450</v>
      </c>
      <c r="N255" s="3">
        <v>52</v>
      </c>
      <c r="O255" s="5">
        <f t="shared" si="20"/>
        <v>0.88444444444444448</v>
      </c>
      <c r="P255" s="5">
        <f t="shared" si="21"/>
        <v>0.88567839195979903</v>
      </c>
      <c r="Q255" s="5">
        <f t="shared" si="22"/>
        <v>0.97599999999999998</v>
      </c>
      <c r="R255" s="5">
        <f t="shared" si="23"/>
        <v>0.7645333333333334</v>
      </c>
    </row>
    <row r="256" spans="1:18" x14ac:dyDescent="0.25">
      <c r="A256" s="3">
        <v>252</v>
      </c>
      <c r="B256" s="4">
        <v>46282</v>
      </c>
      <c r="C256" s="3" t="s">
        <v>30</v>
      </c>
      <c r="D256" s="3" t="s">
        <v>23</v>
      </c>
      <c r="E256" s="3" t="s">
        <v>24</v>
      </c>
      <c r="F256" s="3">
        <v>293</v>
      </c>
      <c r="G256" s="3">
        <v>286</v>
      </c>
      <c r="H256" s="3">
        <v>7</v>
      </c>
      <c r="I256" s="5">
        <f t="shared" si="19"/>
        <v>2.3890784982935155E-2</v>
      </c>
      <c r="J256" s="6">
        <f t="shared" si="24"/>
        <v>23890.784982935154</v>
      </c>
      <c r="K256" s="7">
        <v>1.0900000000000001</v>
      </c>
      <c r="L256" s="3">
        <v>407</v>
      </c>
      <c r="M256" s="3">
        <v>450</v>
      </c>
      <c r="N256" s="3">
        <v>43</v>
      </c>
      <c r="O256" s="5">
        <f t="shared" si="20"/>
        <v>0.9044444444444445</v>
      </c>
      <c r="P256" s="5">
        <f t="shared" si="21"/>
        <v>0.78469287469287474</v>
      </c>
      <c r="Q256" s="5">
        <f t="shared" si="22"/>
        <v>0.97610921501706482</v>
      </c>
      <c r="R256" s="5">
        <f t="shared" si="23"/>
        <v>0.69275555555555557</v>
      </c>
    </row>
    <row r="257" spans="1:18" x14ac:dyDescent="0.25">
      <c r="A257" s="3">
        <v>253</v>
      </c>
      <c r="B257" s="4">
        <v>46282</v>
      </c>
      <c r="C257" s="3" t="s">
        <v>33</v>
      </c>
      <c r="D257" s="3" t="s">
        <v>19</v>
      </c>
      <c r="E257" s="3" t="s">
        <v>31</v>
      </c>
      <c r="F257" s="3">
        <v>245</v>
      </c>
      <c r="G257" s="3">
        <v>240</v>
      </c>
      <c r="H257" s="3">
        <v>5</v>
      </c>
      <c r="I257" s="5">
        <f t="shared" si="19"/>
        <v>2.0408163265306121E-2</v>
      </c>
      <c r="J257" s="6">
        <f t="shared" si="24"/>
        <v>20408.163265306121</v>
      </c>
      <c r="K257" s="7">
        <v>1.59</v>
      </c>
      <c r="L257" s="3">
        <v>399</v>
      </c>
      <c r="M257" s="3">
        <v>450</v>
      </c>
      <c r="N257" s="3">
        <v>51</v>
      </c>
      <c r="O257" s="5">
        <f t="shared" si="20"/>
        <v>0.88666666666666671</v>
      </c>
      <c r="P257" s="5">
        <f t="shared" si="21"/>
        <v>0.97631578947368425</v>
      </c>
      <c r="Q257" s="5">
        <f t="shared" si="22"/>
        <v>0.97959183673469385</v>
      </c>
      <c r="R257" s="5">
        <f t="shared" si="23"/>
        <v>0.84799999999999998</v>
      </c>
    </row>
    <row r="258" spans="1:18" x14ac:dyDescent="0.25">
      <c r="A258" s="3">
        <v>254</v>
      </c>
      <c r="B258" s="4">
        <v>46282</v>
      </c>
      <c r="C258" s="3" t="s">
        <v>33</v>
      </c>
      <c r="D258" s="3" t="s">
        <v>21</v>
      </c>
      <c r="E258" s="3" t="s">
        <v>32</v>
      </c>
      <c r="F258" s="3">
        <v>282</v>
      </c>
      <c r="G258" s="3">
        <v>277</v>
      </c>
      <c r="H258" s="3">
        <v>5</v>
      </c>
      <c r="I258" s="5">
        <f t="shared" si="19"/>
        <v>1.7730496453900711E-2</v>
      </c>
      <c r="J258" s="6">
        <f t="shared" si="24"/>
        <v>17730.496453900709</v>
      </c>
      <c r="K258" s="7">
        <v>1.1200000000000001</v>
      </c>
      <c r="L258" s="3">
        <v>402</v>
      </c>
      <c r="M258" s="3">
        <v>450</v>
      </c>
      <c r="N258" s="3">
        <v>48</v>
      </c>
      <c r="O258" s="5">
        <f t="shared" si="20"/>
        <v>0.89333333333333331</v>
      </c>
      <c r="P258" s="5">
        <f t="shared" si="21"/>
        <v>0.78567164179104487</v>
      </c>
      <c r="Q258" s="5">
        <f t="shared" si="22"/>
        <v>0.98226950354609932</v>
      </c>
      <c r="R258" s="5">
        <f t="shared" si="23"/>
        <v>0.68942222222222227</v>
      </c>
    </row>
    <row r="259" spans="1:18" x14ac:dyDescent="0.25">
      <c r="A259" s="3">
        <v>255</v>
      </c>
      <c r="B259" s="4">
        <v>46282</v>
      </c>
      <c r="C259" s="3" t="s">
        <v>33</v>
      </c>
      <c r="D259" s="3" t="s">
        <v>23</v>
      </c>
      <c r="E259" s="3" t="s">
        <v>35</v>
      </c>
      <c r="F259" s="3">
        <v>318</v>
      </c>
      <c r="G259" s="3">
        <v>308</v>
      </c>
      <c r="H259" s="3">
        <v>10</v>
      </c>
      <c r="I259" s="5">
        <f t="shared" si="19"/>
        <v>3.1446540880503145E-2</v>
      </c>
      <c r="J259" s="6">
        <f t="shared" si="24"/>
        <v>31446.540880503144</v>
      </c>
      <c r="K259" s="7">
        <v>1.04</v>
      </c>
      <c r="L259" s="3">
        <v>420</v>
      </c>
      <c r="M259" s="3">
        <v>450</v>
      </c>
      <c r="N259" s="3">
        <v>30</v>
      </c>
      <c r="O259" s="5">
        <f t="shared" si="20"/>
        <v>0.93333333333333335</v>
      </c>
      <c r="P259" s="5">
        <f t="shared" si="21"/>
        <v>0.78742857142857148</v>
      </c>
      <c r="Q259" s="5">
        <f t="shared" si="22"/>
        <v>0.96855345911949686</v>
      </c>
      <c r="R259" s="5">
        <f t="shared" si="23"/>
        <v>0.71182222222222236</v>
      </c>
    </row>
    <row r="260" spans="1:18" x14ac:dyDescent="0.25">
      <c r="A260" s="3">
        <v>256</v>
      </c>
      <c r="B260" s="4">
        <v>46283</v>
      </c>
      <c r="C260" s="3" t="s">
        <v>18</v>
      </c>
      <c r="D260" s="3" t="s">
        <v>19</v>
      </c>
      <c r="E260" s="3" t="s">
        <v>20</v>
      </c>
      <c r="F260" s="3">
        <v>387</v>
      </c>
      <c r="G260" s="3">
        <v>382</v>
      </c>
      <c r="H260" s="3">
        <v>5</v>
      </c>
      <c r="I260" s="5">
        <f t="shared" si="19"/>
        <v>1.2919896640826873E-2</v>
      </c>
      <c r="J260" s="6">
        <f t="shared" si="24"/>
        <v>12919.896640826873</v>
      </c>
      <c r="K260" s="7">
        <v>0.98</v>
      </c>
      <c r="L260" s="3">
        <v>430</v>
      </c>
      <c r="M260" s="3">
        <v>450</v>
      </c>
      <c r="N260" s="3">
        <v>20</v>
      </c>
      <c r="O260" s="5">
        <f t="shared" si="20"/>
        <v>0.9555555555555556</v>
      </c>
      <c r="P260" s="5">
        <f t="shared" si="21"/>
        <v>0.88200000000000001</v>
      </c>
      <c r="Q260" s="5">
        <f t="shared" si="22"/>
        <v>0.98708010335917318</v>
      </c>
      <c r="R260" s="5">
        <f t="shared" si="23"/>
        <v>0.83191111111111116</v>
      </c>
    </row>
    <row r="261" spans="1:18" x14ac:dyDescent="0.25">
      <c r="A261" s="3">
        <v>257</v>
      </c>
      <c r="B261" s="4">
        <v>46283</v>
      </c>
      <c r="C261" s="3" t="s">
        <v>18</v>
      </c>
      <c r="D261" s="3" t="s">
        <v>21</v>
      </c>
      <c r="E261" s="3" t="s">
        <v>26</v>
      </c>
      <c r="F261" s="3">
        <v>337</v>
      </c>
      <c r="G261" s="3">
        <v>328</v>
      </c>
      <c r="H261" s="3">
        <v>9</v>
      </c>
      <c r="I261" s="5">
        <f t="shared" ref="I261:I324" si="25">IFERROR(H261/F261,0)</f>
        <v>2.6706231454005934E-2</v>
      </c>
      <c r="J261" s="6">
        <f t="shared" si="24"/>
        <v>26706.231454005934</v>
      </c>
      <c r="K261" s="7">
        <v>1.1299999999999999</v>
      </c>
      <c r="L261" s="3">
        <v>425</v>
      </c>
      <c r="M261" s="3">
        <v>450</v>
      </c>
      <c r="N261" s="3">
        <v>25</v>
      </c>
      <c r="O261" s="5">
        <f t="shared" ref="O261:O324" si="26">IFERROR(L261/M261,0)</f>
        <v>0.94444444444444442</v>
      </c>
      <c r="P261" s="5">
        <f t="shared" ref="P261:P324" si="27">IFERROR(F261*K261/L261,0)</f>
        <v>0.89602352941176455</v>
      </c>
      <c r="Q261" s="5">
        <f t="shared" ref="Q261:Q324" si="28">IFERROR(G261/F261,0)</f>
        <v>0.97329376854599403</v>
      </c>
      <c r="R261" s="5">
        <f t="shared" ref="R261:R324" si="29">O261*P261*Q261</f>
        <v>0.82364444444444418</v>
      </c>
    </row>
    <row r="262" spans="1:18" x14ac:dyDescent="0.25">
      <c r="A262" s="3">
        <v>258</v>
      </c>
      <c r="B262" s="4">
        <v>46283</v>
      </c>
      <c r="C262" s="3" t="s">
        <v>18</v>
      </c>
      <c r="D262" s="3" t="s">
        <v>23</v>
      </c>
      <c r="E262" s="3" t="s">
        <v>34</v>
      </c>
      <c r="F262" s="3">
        <v>1171</v>
      </c>
      <c r="G262" s="3">
        <v>1164</v>
      </c>
      <c r="H262" s="3">
        <v>7</v>
      </c>
      <c r="I262" s="5">
        <f t="shared" si="25"/>
        <v>5.9777967549103327E-3</v>
      </c>
      <c r="J262" s="6">
        <f t="shared" ref="J262:J325" si="30">H262/F262*1000000</f>
        <v>5977.7967549103323</v>
      </c>
      <c r="K262" s="7">
        <v>0.36</v>
      </c>
      <c r="L262" s="3">
        <v>419</v>
      </c>
      <c r="M262" s="3">
        <v>450</v>
      </c>
      <c r="N262" s="3">
        <v>31</v>
      </c>
      <c r="O262" s="5">
        <f t="shared" si="26"/>
        <v>0.93111111111111111</v>
      </c>
      <c r="P262" s="5">
        <f t="shared" si="27"/>
        <v>1.006109785202864</v>
      </c>
      <c r="Q262" s="5">
        <f t="shared" si="28"/>
        <v>0.99402220324508972</v>
      </c>
      <c r="R262" s="5">
        <f t="shared" si="29"/>
        <v>0.93120000000000003</v>
      </c>
    </row>
    <row r="263" spans="1:18" x14ac:dyDescent="0.25">
      <c r="A263" s="3">
        <v>259</v>
      </c>
      <c r="B263" s="4">
        <v>46283</v>
      </c>
      <c r="C263" s="3" t="s">
        <v>25</v>
      </c>
      <c r="D263" s="3" t="s">
        <v>19</v>
      </c>
      <c r="E263" s="3" t="s">
        <v>22</v>
      </c>
      <c r="F263" s="3">
        <v>392</v>
      </c>
      <c r="G263" s="3">
        <v>386</v>
      </c>
      <c r="H263" s="3">
        <v>6</v>
      </c>
      <c r="I263" s="5">
        <f t="shared" si="25"/>
        <v>1.5306122448979591E-2</v>
      </c>
      <c r="J263" s="6">
        <f t="shared" si="30"/>
        <v>15306.122448979591</v>
      </c>
      <c r="K263" s="7">
        <v>1</v>
      </c>
      <c r="L263" s="3">
        <v>431</v>
      </c>
      <c r="M263" s="3">
        <v>450</v>
      </c>
      <c r="N263" s="3">
        <v>19</v>
      </c>
      <c r="O263" s="5">
        <f t="shared" si="26"/>
        <v>0.95777777777777773</v>
      </c>
      <c r="P263" s="5">
        <f t="shared" si="27"/>
        <v>0.90951276102088163</v>
      </c>
      <c r="Q263" s="5">
        <f t="shared" si="28"/>
        <v>0.98469387755102045</v>
      </c>
      <c r="R263" s="5">
        <f t="shared" si="29"/>
        <v>0.85777777777777775</v>
      </c>
    </row>
    <row r="264" spans="1:18" x14ac:dyDescent="0.25">
      <c r="A264" s="3">
        <v>260</v>
      </c>
      <c r="B264" s="4">
        <v>46283</v>
      </c>
      <c r="C264" s="3" t="s">
        <v>25</v>
      </c>
      <c r="D264" s="3" t="s">
        <v>21</v>
      </c>
      <c r="E264" s="3" t="s">
        <v>31</v>
      </c>
      <c r="F264" s="3">
        <v>237</v>
      </c>
      <c r="G264" s="3">
        <v>230</v>
      </c>
      <c r="H264" s="3">
        <v>7</v>
      </c>
      <c r="I264" s="5">
        <f t="shared" si="25"/>
        <v>2.9535864978902954E-2</v>
      </c>
      <c r="J264" s="6">
        <f t="shared" si="30"/>
        <v>29535.864978902955</v>
      </c>
      <c r="K264" s="7">
        <v>1.6</v>
      </c>
      <c r="L264" s="3">
        <v>433</v>
      </c>
      <c r="M264" s="3">
        <v>450</v>
      </c>
      <c r="N264" s="3">
        <v>17</v>
      </c>
      <c r="O264" s="5">
        <f t="shared" si="26"/>
        <v>0.9622222222222222</v>
      </c>
      <c r="P264" s="5">
        <f t="shared" si="27"/>
        <v>0.87575057736720563</v>
      </c>
      <c r="Q264" s="5">
        <f t="shared" si="28"/>
        <v>0.97046413502109707</v>
      </c>
      <c r="R264" s="5">
        <f t="shared" si="29"/>
        <v>0.81777777777777794</v>
      </c>
    </row>
    <row r="265" spans="1:18" x14ac:dyDescent="0.25">
      <c r="A265" s="3">
        <v>261</v>
      </c>
      <c r="B265" s="4">
        <v>46283</v>
      </c>
      <c r="C265" s="3" t="s">
        <v>25</v>
      </c>
      <c r="D265" s="3" t="s">
        <v>23</v>
      </c>
      <c r="E265" s="3" t="s">
        <v>29</v>
      </c>
      <c r="F265" s="3">
        <v>498</v>
      </c>
      <c r="G265" s="3">
        <v>485</v>
      </c>
      <c r="H265" s="3">
        <v>13</v>
      </c>
      <c r="I265" s="5">
        <f t="shared" si="25"/>
        <v>2.6104417670682729E-2</v>
      </c>
      <c r="J265" s="6">
        <f t="shared" si="30"/>
        <v>26104.417670682731</v>
      </c>
      <c r="K265" s="7">
        <v>0.71</v>
      </c>
      <c r="L265" s="3">
        <v>402</v>
      </c>
      <c r="M265" s="3">
        <v>450</v>
      </c>
      <c r="N265" s="3">
        <v>48</v>
      </c>
      <c r="O265" s="5">
        <f t="shared" si="26"/>
        <v>0.89333333333333331</v>
      </c>
      <c r="P265" s="5">
        <f t="shared" si="27"/>
        <v>0.87955223880597011</v>
      </c>
      <c r="Q265" s="5">
        <f t="shared" si="28"/>
        <v>0.97389558232931728</v>
      </c>
      <c r="R265" s="5">
        <f t="shared" si="29"/>
        <v>0.76522222222222214</v>
      </c>
    </row>
    <row r="266" spans="1:18" x14ac:dyDescent="0.25">
      <c r="A266" s="3">
        <v>262</v>
      </c>
      <c r="B266" s="4">
        <v>46283</v>
      </c>
      <c r="C266" s="3" t="s">
        <v>28</v>
      </c>
      <c r="D266" s="3" t="s">
        <v>19</v>
      </c>
      <c r="E266" s="3" t="s">
        <v>35</v>
      </c>
      <c r="F266" s="3">
        <v>444</v>
      </c>
      <c r="G266" s="3">
        <v>429</v>
      </c>
      <c r="H266" s="3">
        <v>15</v>
      </c>
      <c r="I266" s="5">
        <f t="shared" si="25"/>
        <v>3.3783783783783786E-2</v>
      </c>
      <c r="J266" s="6">
        <f t="shared" si="30"/>
        <v>33783.783783783787</v>
      </c>
      <c r="K266" s="7">
        <v>1.02</v>
      </c>
      <c r="L266" s="3">
        <v>444</v>
      </c>
      <c r="M266" s="3">
        <v>450</v>
      </c>
      <c r="N266" s="3">
        <v>6</v>
      </c>
      <c r="O266" s="5">
        <f t="shared" si="26"/>
        <v>0.98666666666666669</v>
      </c>
      <c r="P266" s="5">
        <f t="shared" si="27"/>
        <v>1.02</v>
      </c>
      <c r="Q266" s="5">
        <f t="shared" si="28"/>
        <v>0.96621621621621623</v>
      </c>
      <c r="R266" s="5">
        <f t="shared" si="29"/>
        <v>0.97239999999999993</v>
      </c>
    </row>
    <row r="267" spans="1:18" x14ac:dyDescent="0.25">
      <c r="A267" s="3">
        <v>263</v>
      </c>
      <c r="B267" s="4">
        <v>46283</v>
      </c>
      <c r="C267" s="3" t="s">
        <v>28</v>
      </c>
      <c r="D267" s="3" t="s">
        <v>21</v>
      </c>
      <c r="E267" s="3" t="s">
        <v>31</v>
      </c>
      <c r="F267" s="3">
        <v>234</v>
      </c>
      <c r="G267" s="3">
        <v>228</v>
      </c>
      <c r="H267" s="3">
        <v>6</v>
      </c>
      <c r="I267" s="5">
        <f t="shared" si="25"/>
        <v>2.564102564102564E-2</v>
      </c>
      <c r="J267" s="6">
        <f t="shared" si="30"/>
        <v>25641.025641025641</v>
      </c>
      <c r="K267" s="7">
        <v>1.79</v>
      </c>
      <c r="L267" s="3">
        <v>430</v>
      </c>
      <c r="M267" s="3">
        <v>450</v>
      </c>
      <c r="N267" s="3">
        <v>20</v>
      </c>
      <c r="O267" s="5">
        <f t="shared" si="26"/>
        <v>0.9555555555555556</v>
      </c>
      <c r="P267" s="5">
        <f t="shared" si="27"/>
        <v>0.97409302325581404</v>
      </c>
      <c r="Q267" s="5">
        <f t="shared" si="28"/>
        <v>0.97435897435897434</v>
      </c>
      <c r="R267" s="5">
        <f t="shared" si="29"/>
        <v>0.90693333333333337</v>
      </c>
    </row>
    <row r="268" spans="1:18" x14ac:dyDescent="0.25">
      <c r="A268" s="3">
        <v>264</v>
      </c>
      <c r="B268" s="4">
        <v>46283</v>
      </c>
      <c r="C268" s="3" t="s">
        <v>28</v>
      </c>
      <c r="D268" s="3" t="s">
        <v>23</v>
      </c>
      <c r="E268" s="3" t="s">
        <v>26</v>
      </c>
      <c r="F268" s="3">
        <v>354</v>
      </c>
      <c r="G268" s="3">
        <v>343</v>
      </c>
      <c r="H268" s="3">
        <v>11</v>
      </c>
      <c r="I268" s="5">
        <f t="shared" si="25"/>
        <v>3.1073446327683617E-2</v>
      </c>
      <c r="J268" s="6">
        <f t="shared" si="30"/>
        <v>31073.446327683618</v>
      </c>
      <c r="K268" s="7">
        <v>1.24</v>
      </c>
      <c r="L268" s="3">
        <v>428</v>
      </c>
      <c r="M268" s="3">
        <v>450</v>
      </c>
      <c r="N268" s="3">
        <v>22</v>
      </c>
      <c r="O268" s="5">
        <f t="shared" si="26"/>
        <v>0.95111111111111113</v>
      </c>
      <c r="P268" s="5">
        <f t="shared" si="27"/>
        <v>1.0256074766355139</v>
      </c>
      <c r="Q268" s="5">
        <f t="shared" si="28"/>
        <v>0.96892655367231639</v>
      </c>
      <c r="R268" s="5">
        <f t="shared" si="29"/>
        <v>0.94515555555555553</v>
      </c>
    </row>
    <row r="269" spans="1:18" x14ac:dyDescent="0.25">
      <c r="A269" s="3">
        <v>265</v>
      </c>
      <c r="B269" s="4">
        <v>46283</v>
      </c>
      <c r="C269" s="3" t="s">
        <v>30</v>
      </c>
      <c r="D269" s="3" t="s">
        <v>19</v>
      </c>
      <c r="E269" s="3" t="s">
        <v>20</v>
      </c>
      <c r="F269" s="3">
        <v>213</v>
      </c>
      <c r="G269" s="3">
        <v>206</v>
      </c>
      <c r="H269" s="3">
        <v>7</v>
      </c>
      <c r="I269" s="5">
        <f t="shared" si="25"/>
        <v>3.2863849765258218E-2</v>
      </c>
      <c r="J269" s="6">
        <f t="shared" si="30"/>
        <v>32863.849765258215</v>
      </c>
      <c r="K269" s="7">
        <v>1.65</v>
      </c>
      <c r="L269" s="3">
        <v>434</v>
      </c>
      <c r="M269" s="3">
        <v>450</v>
      </c>
      <c r="N269" s="3">
        <v>16</v>
      </c>
      <c r="O269" s="5">
        <f t="shared" si="26"/>
        <v>0.96444444444444444</v>
      </c>
      <c r="P269" s="5">
        <f t="shared" si="27"/>
        <v>0.80979262672811059</v>
      </c>
      <c r="Q269" s="5">
        <f t="shared" si="28"/>
        <v>0.96713615023474175</v>
      </c>
      <c r="R269" s="5">
        <f t="shared" si="29"/>
        <v>0.7553333333333333</v>
      </c>
    </row>
    <row r="270" spans="1:18" x14ac:dyDescent="0.25">
      <c r="A270" s="3">
        <v>266</v>
      </c>
      <c r="B270" s="4">
        <v>46283</v>
      </c>
      <c r="C270" s="3" t="s">
        <v>30</v>
      </c>
      <c r="D270" s="3" t="s">
        <v>21</v>
      </c>
      <c r="E270" s="3" t="s">
        <v>34</v>
      </c>
      <c r="F270" s="3">
        <v>385</v>
      </c>
      <c r="G270" s="3">
        <v>371</v>
      </c>
      <c r="H270" s="3">
        <v>14</v>
      </c>
      <c r="I270" s="5">
        <f t="shared" si="25"/>
        <v>3.6363636363636362E-2</v>
      </c>
      <c r="J270" s="6">
        <f t="shared" si="30"/>
        <v>36363.63636363636</v>
      </c>
      <c r="K270" s="7">
        <v>1.05</v>
      </c>
      <c r="L270" s="3">
        <v>401</v>
      </c>
      <c r="M270" s="3">
        <v>450</v>
      </c>
      <c r="N270" s="3">
        <v>49</v>
      </c>
      <c r="O270" s="5">
        <f t="shared" si="26"/>
        <v>0.89111111111111108</v>
      </c>
      <c r="P270" s="5">
        <f t="shared" si="27"/>
        <v>1.0081047381546135</v>
      </c>
      <c r="Q270" s="5">
        <f t="shared" si="28"/>
        <v>0.96363636363636362</v>
      </c>
      <c r="R270" s="5">
        <f t="shared" si="29"/>
        <v>0.8656666666666667</v>
      </c>
    </row>
    <row r="271" spans="1:18" x14ac:dyDescent="0.25">
      <c r="A271" s="3">
        <v>267</v>
      </c>
      <c r="B271" s="4">
        <v>46283</v>
      </c>
      <c r="C271" s="3" t="s">
        <v>30</v>
      </c>
      <c r="D271" s="3" t="s">
        <v>23</v>
      </c>
      <c r="E271" s="3" t="s">
        <v>24</v>
      </c>
      <c r="F271" s="3">
        <v>621</v>
      </c>
      <c r="G271" s="3">
        <v>606</v>
      </c>
      <c r="H271" s="3">
        <v>15</v>
      </c>
      <c r="I271" s="5">
        <f t="shared" si="25"/>
        <v>2.4154589371980676E-2</v>
      </c>
      <c r="J271" s="6">
        <f t="shared" si="30"/>
        <v>24154.589371980677</v>
      </c>
      <c r="K271" s="7">
        <v>0.5</v>
      </c>
      <c r="L271" s="3">
        <v>390</v>
      </c>
      <c r="M271" s="3">
        <v>450</v>
      </c>
      <c r="N271" s="3">
        <v>60</v>
      </c>
      <c r="O271" s="5">
        <f t="shared" si="26"/>
        <v>0.8666666666666667</v>
      </c>
      <c r="P271" s="5">
        <f t="shared" si="27"/>
        <v>0.7961538461538461</v>
      </c>
      <c r="Q271" s="5">
        <f t="shared" si="28"/>
        <v>0.97584541062801933</v>
      </c>
      <c r="R271" s="5">
        <f t="shared" si="29"/>
        <v>0.67333333333333334</v>
      </c>
    </row>
    <row r="272" spans="1:18" x14ac:dyDescent="0.25">
      <c r="A272" s="3">
        <v>268</v>
      </c>
      <c r="B272" s="4">
        <v>46283</v>
      </c>
      <c r="C272" s="3" t="s">
        <v>33</v>
      </c>
      <c r="D272" s="3" t="s">
        <v>19</v>
      </c>
      <c r="E272" s="3" t="s">
        <v>32</v>
      </c>
      <c r="F272" s="3">
        <v>893</v>
      </c>
      <c r="G272" s="3">
        <v>870</v>
      </c>
      <c r="H272" s="3">
        <v>23</v>
      </c>
      <c r="I272" s="5">
        <f t="shared" si="25"/>
        <v>2.5755879059350503E-2</v>
      </c>
      <c r="J272" s="6">
        <f t="shared" si="30"/>
        <v>25755.879059350504</v>
      </c>
      <c r="K272" s="7">
        <v>0.47</v>
      </c>
      <c r="L272" s="3">
        <v>437</v>
      </c>
      <c r="M272" s="3">
        <v>450</v>
      </c>
      <c r="N272" s="3">
        <v>13</v>
      </c>
      <c r="O272" s="5">
        <f t="shared" si="26"/>
        <v>0.97111111111111115</v>
      </c>
      <c r="P272" s="5">
        <f t="shared" si="27"/>
        <v>0.96043478260869564</v>
      </c>
      <c r="Q272" s="5">
        <f t="shared" si="28"/>
        <v>0.97424412094064949</v>
      </c>
      <c r="R272" s="5">
        <f t="shared" si="29"/>
        <v>0.90866666666666662</v>
      </c>
    </row>
    <row r="273" spans="1:18" x14ac:dyDescent="0.25">
      <c r="A273" s="3">
        <v>269</v>
      </c>
      <c r="B273" s="4">
        <v>46283</v>
      </c>
      <c r="C273" s="3" t="s">
        <v>33</v>
      </c>
      <c r="D273" s="3" t="s">
        <v>21</v>
      </c>
      <c r="E273" s="3" t="s">
        <v>20</v>
      </c>
      <c r="F273" s="3">
        <v>227</v>
      </c>
      <c r="G273" s="3">
        <v>225</v>
      </c>
      <c r="H273" s="3">
        <v>2</v>
      </c>
      <c r="I273" s="5">
        <f t="shared" si="25"/>
        <v>8.8105726872246704E-3</v>
      </c>
      <c r="J273" s="6">
        <f t="shared" si="30"/>
        <v>8810.5726872246705</v>
      </c>
      <c r="K273" s="7">
        <v>1.56</v>
      </c>
      <c r="L273" s="3">
        <v>390</v>
      </c>
      <c r="M273" s="3">
        <v>450</v>
      </c>
      <c r="N273" s="3">
        <v>60</v>
      </c>
      <c r="O273" s="5">
        <f t="shared" si="26"/>
        <v>0.8666666666666667</v>
      </c>
      <c r="P273" s="5">
        <f t="shared" si="27"/>
        <v>0.90800000000000003</v>
      </c>
      <c r="Q273" s="5">
        <f t="shared" si="28"/>
        <v>0.99118942731277537</v>
      </c>
      <c r="R273" s="5">
        <f t="shared" si="29"/>
        <v>0.78</v>
      </c>
    </row>
    <row r="274" spans="1:18" x14ac:dyDescent="0.25">
      <c r="A274" s="3">
        <v>270</v>
      </c>
      <c r="B274" s="4">
        <v>46283</v>
      </c>
      <c r="C274" s="3" t="s">
        <v>33</v>
      </c>
      <c r="D274" s="3" t="s">
        <v>23</v>
      </c>
      <c r="E274" s="3" t="s">
        <v>27</v>
      </c>
      <c r="F274" s="3">
        <v>216</v>
      </c>
      <c r="G274" s="3">
        <v>214</v>
      </c>
      <c r="H274" s="3">
        <v>2</v>
      </c>
      <c r="I274" s="5">
        <f t="shared" si="25"/>
        <v>9.2592592592592587E-3</v>
      </c>
      <c r="J274" s="6">
        <f t="shared" si="30"/>
        <v>9259.2592592592591</v>
      </c>
      <c r="K274" s="7">
        <v>1.63</v>
      </c>
      <c r="L274" s="3">
        <v>428</v>
      </c>
      <c r="M274" s="3">
        <v>450</v>
      </c>
      <c r="N274" s="3">
        <v>22</v>
      </c>
      <c r="O274" s="5">
        <f t="shared" si="26"/>
        <v>0.95111111111111113</v>
      </c>
      <c r="P274" s="5">
        <f t="shared" si="27"/>
        <v>0.82261682242990652</v>
      </c>
      <c r="Q274" s="5">
        <f t="shared" si="28"/>
        <v>0.9907407407407407</v>
      </c>
      <c r="R274" s="5">
        <f t="shared" si="29"/>
        <v>0.77515555555555549</v>
      </c>
    </row>
    <row r="275" spans="1:18" x14ac:dyDescent="0.25">
      <c r="A275" s="3">
        <v>271</v>
      </c>
      <c r="B275" s="4">
        <v>46284</v>
      </c>
      <c r="C275" s="3" t="s">
        <v>18</v>
      </c>
      <c r="D275" s="3" t="s">
        <v>19</v>
      </c>
      <c r="E275" s="3" t="s">
        <v>22</v>
      </c>
      <c r="F275" s="3">
        <v>547</v>
      </c>
      <c r="G275" s="3">
        <v>531</v>
      </c>
      <c r="H275" s="3">
        <v>16</v>
      </c>
      <c r="I275" s="5">
        <f t="shared" si="25"/>
        <v>2.9250457038391225E-2</v>
      </c>
      <c r="J275" s="6">
        <f t="shared" si="30"/>
        <v>29250.457038391225</v>
      </c>
      <c r="K275" s="7">
        <v>0.65</v>
      </c>
      <c r="L275" s="3">
        <v>441</v>
      </c>
      <c r="M275" s="3">
        <v>450</v>
      </c>
      <c r="N275" s="3">
        <v>9</v>
      </c>
      <c r="O275" s="5">
        <f t="shared" si="26"/>
        <v>0.98</v>
      </c>
      <c r="P275" s="5">
        <f t="shared" si="27"/>
        <v>0.80623582766439916</v>
      </c>
      <c r="Q275" s="5">
        <f t="shared" si="28"/>
        <v>0.97074954296160876</v>
      </c>
      <c r="R275" s="5">
        <f t="shared" si="29"/>
        <v>0.76700000000000013</v>
      </c>
    </row>
    <row r="276" spans="1:18" x14ac:dyDescent="0.25">
      <c r="A276" s="3">
        <v>272</v>
      </c>
      <c r="B276" s="4">
        <v>46284</v>
      </c>
      <c r="C276" s="3" t="s">
        <v>18</v>
      </c>
      <c r="D276" s="3" t="s">
        <v>21</v>
      </c>
      <c r="E276" s="3" t="s">
        <v>22</v>
      </c>
      <c r="F276" s="3">
        <v>267</v>
      </c>
      <c r="G276" s="3">
        <v>264</v>
      </c>
      <c r="H276" s="3">
        <v>3</v>
      </c>
      <c r="I276" s="5">
        <f t="shared" si="25"/>
        <v>1.1235955056179775E-2</v>
      </c>
      <c r="J276" s="6">
        <f t="shared" si="30"/>
        <v>11235.955056179775</v>
      </c>
      <c r="K276" s="7">
        <v>1.43</v>
      </c>
      <c r="L276" s="3">
        <v>396</v>
      </c>
      <c r="M276" s="3">
        <v>450</v>
      </c>
      <c r="N276" s="3">
        <v>54</v>
      </c>
      <c r="O276" s="5">
        <f t="shared" si="26"/>
        <v>0.88</v>
      </c>
      <c r="P276" s="5">
        <f t="shared" si="27"/>
        <v>0.96416666666666673</v>
      </c>
      <c r="Q276" s="5">
        <f t="shared" si="28"/>
        <v>0.9887640449438202</v>
      </c>
      <c r="R276" s="5">
        <f t="shared" si="29"/>
        <v>0.83893333333333331</v>
      </c>
    </row>
    <row r="277" spans="1:18" x14ac:dyDescent="0.25">
      <c r="A277" s="3">
        <v>273</v>
      </c>
      <c r="B277" s="4">
        <v>46284</v>
      </c>
      <c r="C277" s="3" t="s">
        <v>18</v>
      </c>
      <c r="D277" s="3" t="s">
        <v>23</v>
      </c>
      <c r="E277" s="3" t="s">
        <v>24</v>
      </c>
      <c r="F277" s="3">
        <v>779</v>
      </c>
      <c r="G277" s="3">
        <v>754</v>
      </c>
      <c r="H277" s="3">
        <v>25</v>
      </c>
      <c r="I277" s="5">
        <f t="shared" si="25"/>
        <v>3.2092426187419767E-2</v>
      </c>
      <c r="J277" s="6">
        <f t="shared" si="30"/>
        <v>32092.426187419769</v>
      </c>
      <c r="K277" s="7">
        <v>0.44</v>
      </c>
      <c r="L277" s="3">
        <v>413</v>
      </c>
      <c r="M277" s="3">
        <v>450</v>
      </c>
      <c r="N277" s="3">
        <v>37</v>
      </c>
      <c r="O277" s="5">
        <f t="shared" si="26"/>
        <v>0.9177777777777778</v>
      </c>
      <c r="P277" s="5">
        <f t="shared" si="27"/>
        <v>0.82992736077481843</v>
      </c>
      <c r="Q277" s="5">
        <f t="shared" si="28"/>
        <v>0.96790757381258019</v>
      </c>
      <c r="R277" s="5">
        <f t="shared" si="29"/>
        <v>0.73724444444444448</v>
      </c>
    </row>
    <row r="278" spans="1:18" x14ac:dyDescent="0.25">
      <c r="A278" s="3">
        <v>274</v>
      </c>
      <c r="B278" s="4">
        <v>46284</v>
      </c>
      <c r="C278" s="3" t="s">
        <v>25</v>
      </c>
      <c r="D278" s="3" t="s">
        <v>19</v>
      </c>
      <c r="E278" s="3" t="s">
        <v>34</v>
      </c>
      <c r="F278" s="3">
        <v>428</v>
      </c>
      <c r="G278" s="3">
        <v>425</v>
      </c>
      <c r="H278" s="3">
        <v>3</v>
      </c>
      <c r="I278" s="5">
        <f t="shared" si="25"/>
        <v>7.0093457943925233E-3</v>
      </c>
      <c r="J278" s="6">
        <f t="shared" si="30"/>
        <v>7009.3457943925232</v>
      </c>
      <c r="K278" s="7">
        <v>0.87</v>
      </c>
      <c r="L278" s="3">
        <v>418</v>
      </c>
      <c r="M278" s="3">
        <v>450</v>
      </c>
      <c r="N278" s="3">
        <v>32</v>
      </c>
      <c r="O278" s="5">
        <f t="shared" si="26"/>
        <v>0.92888888888888888</v>
      </c>
      <c r="P278" s="5">
        <f t="shared" si="27"/>
        <v>0.89081339712918661</v>
      </c>
      <c r="Q278" s="5">
        <f t="shared" si="28"/>
        <v>0.9929906542056075</v>
      </c>
      <c r="R278" s="5">
        <f t="shared" si="29"/>
        <v>0.82166666666666666</v>
      </c>
    </row>
    <row r="279" spans="1:18" x14ac:dyDescent="0.25">
      <c r="A279" s="3">
        <v>275</v>
      </c>
      <c r="B279" s="4">
        <v>46284</v>
      </c>
      <c r="C279" s="3" t="s">
        <v>25</v>
      </c>
      <c r="D279" s="3" t="s">
        <v>21</v>
      </c>
      <c r="E279" s="3" t="s">
        <v>20</v>
      </c>
      <c r="F279" s="3">
        <v>357</v>
      </c>
      <c r="G279" s="3">
        <v>355</v>
      </c>
      <c r="H279" s="3">
        <v>2</v>
      </c>
      <c r="I279" s="5">
        <f t="shared" si="25"/>
        <v>5.6022408963585435E-3</v>
      </c>
      <c r="J279" s="6">
        <f t="shared" si="30"/>
        <v>5602.2408963585431</v>
      </c>
      <c r="K279" s="7">
        <v>1.17</v>
      </c>
      <c r="L279" s="3">
        <v>440</v>
      </c>
      <c r="M279" s="3">
        <v>450</v>
      </c>
      <c r="N279" s="3">
        <v>10</v>
      </c>
      <c r="O279" s="5">
        <f t="shared" si="26"/>
        <v>0.97777777777777775</v>
      </c>
      <c r="P279" s="5">
        <f t="shared" si="27"/>
        <v>0.9492954545454545</v>
      </c>
      <c r="Q279" s="5">
        <f t="shared" si="28"/>
        <v>0.99439775910364148</v>
      </c>
      <c r="R279" s="5">
        <f t="shared" si="29"/>
        <v>0.92299999999999993</v>
      </c>
    </row>
    <row r="280" spans="1:18" x14ac:dyDescent="0.25">
      <c r="A280" s="3">
        <v>276</v>
      </c>
      <c r="B280" s="4">
        <v>46284</v>
      </c>
      <c r="C280" s="3" t="s">
        <v>25</v>
      </c>
      <c r="D280" s="3" t="s">
        <v>23</v>
      </c>
      <c r="E280" s="3" t="s">
        <v>20</v>
      </c>
      <c r="F280" s="3">
        <v>233</v>
      </c>
      <c r="G280" s="3">
        <v>231</v>
      </c>
      <c r="H280" s="3">
        <v>2</v>
      </c>
      <c r="I280" s="5">
        <f t="shared" si="25"/>
        <v>8.5836909871244635E-3</v>
      </c>
      <c r="J280" s="6">
        <f t="shared" si="30"/>
        <v>8583.6909871244643</v>
      </c>
      <c r="K280" s="7">
        <v>1.77</v>
      </c>
      <c r="L280" s="3">
        <v>434</v>
      </c>
      <c r="M280" s="3">
        <v>450</v>
      </c>
      <c r="N280" s="3">
        <v>16</v>
      </c>
      <c r="O280" s="5">
        <f t="shared" si="26"/>
        <v>0.96444444444444444</v>
      </c>
      <c r="P280" s="5">
        <f t="shared" si="27"/>
        <v>0.95025345622119817</v>
      </c>
      <c r="Q280" s="5">
        <f t="shared" si="28"/>
        <v>0.99141630901287559</v>
      </c>
      <c r="R280" s="5">
        <f t="shared" si="29"/>
        <v>0.90860000000000007</v>
      </c>
    </row>
    <row r="281" spans="1:18" x14ac:dyDescent="0.25">
      <c r="A281" s="3">
        <v>277</v>
      </c>
      <c r="B281" s="4">
        <v>46284</v>
      </c>
      <c r="C281" s="3" t="s">
        <v>28</v>
      </c>
      <c r="D281" s="3" t="s">
        <v>19</v>
      </c>
      <c r="E281" s="3" t="s">
        <v>26</v>
      </c>
      <c r="F281" s="3">
        <v>884</v>
      </c>
      <c r="G281" s="3">
        <v>873</v>
      </c>
      <c r="H281" s="3">
        <v>11</v>
      </c>
      <c r="I281" s="5">
        <f t="shared" si="25"/>
        <v>1.2443438914027148E-2</v>
      </c>
      <c r="J281" s="6">
        <f t="shared" si="30"/>
        <v>12443.438914027149</v>
      </c>
      <c r="K281" s="7">
        <v>0.37</v>
      </c>
      <c r="L281" s="3">
        <v>400</v>
      </c>
      <c r="M281" s="3">
        <v>450</v>
      </c>
      <c r="N281" s="3">
        <v>50</v>
      </c>
      <c r="O281" s="5">
        <f t="shared" si="26"/>
        <v>0.88888888888888884</v>
      </c>
      <c r="P281" s="5">
        <f t="shared" si="27"/>
        <v>0.81769999999999998</v>
      </c>
      <c r="Q281" s="5">
        <f t="shared" si="28"/>
        <v>0.98755656108597289</v>
      </c>
      <c r="R281" s="5">
        <f t="shared" si="29"/>
        <v>0.71779999999999999</v>
      </c>
    </row>
    <row r="282" spans="1:18" x14ac:dyDescent="0.25">
      <c r="A282" s="3">
        <v>278</v>
      </c>
      <c r="B282" s="4">
        <v>46284</v>
      </c>
      <c r="C282" s="3" t="s">
        <v>28</v>
      </c>
      <c r="D282" s="3" t="s">
        <v>21</v>
      </c>
      <c r="E282" s="3" t="s">
        <v>29</v>
      </c>
      <c r="F282" s="3">
        <v>244</v>
      </c>
      <c r="G282" s="3">
        <v>241</v>
      </c>
      <c r="H282" s="3">
        <v>3</v>
      </c>
      <c r="I282" s="5">
        <f t="shared" si="25"/>
        <v>1.2295081967213115E-2</v>
      </c>
      <c r="J282" s="6">
        <f t="shared" si="30"/>
        <v>12295.081967213115</v>
      </c>
      <c r="K282" s="7">
        <v>1.62</v>
      </c>
      <c r="L282" s="3">
        <v>425</v>
      </c>
      <c r="M282" s="3">
        <v>450</v>
      </c>
      <c r="N282" s="3">
        <v>25</v>
      </c>
      <c r="O282" s="5">
        <f t="shared" si="26"/>
        <v>0.94444444444444442</v>
      </c>
      <c r="P282" s="5">
        <f t="shared" si="27"/>
        <v>0.9300705882352942</v>
      </c>
      <c r="Q282" s="5">
        <f t="shared" si="28"/>
        <v>0.98770491803278693</v>
      </c>
      <c r="R282" s="5">
        <f t="shared" si="29"/>
        <v>0.86760000000000015</v>
      </c>
    </row>
    <row r="283" spans="1:18" x14ac:dyDescent="0.25">
      <c r="A283" s="3">
        <v>279</v>
      </c>
      <c r="B283" s="4">
        <v>46284</v>
      </c>
      <c r="C283" s="3" t="s">
        <v>28</v>
      </c>
      <c r="D283" s="3" t="s">
        <v>23</v>
      </c>
      <c r="E283" s="3" t="s">
        <v>27</v>
      </c>
      <c r="F283" s="3">
        <v>370</v>
      </c>
      <c r="G283" s="3">
        <v>368</v>
      </c>
      <c r="H283" s="3">
        <v>2</v>
      </c>
      <c r="I283" s="5">
        <f t="shared" si="25"/>
        <v>5.4054054054054057E-3</v>
      </c>
      <c r="J283" s="6">
        <f t="shared" si="30"/>
        <v>5405.4054054054059</v>
      </c>
      <c r="K283" s="7">
        <v>1.1599999999999999</v>
      </c>
      <c r="L283" s="3">
        <v>420</v>
      </c>
      <c r="M283" s="3">
        <v>450</v>
      </c>
      <c r="N283" s="3">
        <v>30</v>
      </c>
      <c r="O283" s="5">
        <f t="shared" si="26"/>
        <v>0.93333333333333335</v>
      </c>
      <c r="P283" s="5">
        <f t="shared" si="27"/>
        <v>1.0219047619047619</v>
      </c>
      <c r="Q283" s="5">
        <f t="shared" si="28"/>
        <v>0.99459459459459465</v>
      </c>
      <c r="R283" s="5">
        <f t="shared" si="29"/>
        <v>0.94862222222222226</v>
      </c>
    </row>
    <row r="284" spans="1:18" x14ac:dyDescent="0.25">
      <c r="A284" s="3">
        <v>280</v>
      </c>
      <c r="B284" s="4">
        <v>46284</v>
      </c>
      <c r="C284" s="3" t="s">
        <v>30</v>
      </c>
      <c r="D284" s="3" t="s">
        <v>19</v>
      </c>
      <c r="E284" s="3" t="s">
        <v>32</v>
      </c>
      <c r="F284" s="3">
        <v>296</v>
      </c>
      <c r="G284" s="3">
        <v>294</v>
      </c>
      <c r="H284" s="3">
        <v>2</v>
      </c>
      <c r="I284" s="5">
        <f t="shared" si="25"/>
        <v>6.7567567567567571E-3</v>
      </c>
      <c r="J284" s="6">
        <f t="shared" si="30"/>
        <v>6756.7567567567576</v>
      </c>
      <c r="K284" s="7">
        <v>1.41</v>
      </c>
      <c r="L284" s="3">
        <v>430</v>
      </c>
      <c r="M284" s="3">
        <v>450</v>
      </c>
      <c r="N284" s="3">
        <v>20</v>
      </c>
      <c r="O284" s="5">
        <f t="shared" si="26"/>
        <v>0.9555555555555556</v>
      </c>
      <c r="P284" s="5">
        <f t="shared" si="27"/>
        <v>0.9706046511627906</v>
      </c>
      <c r="Q284" s="5">
        <f t="shared" si="28"/>
        <v>0.9932432432432432</v>
      </c>
      <c r="R284" s="5">
        <f t="shared" si="29"/>
        <v>0.92119999999999991</v>
      </c>
    </row>
    <row r="285" spans="1:18" x14ac:dyDescent="0.25">
      <c r="A285" s="3">
        <v>281</v>
      </c>
      <c r="B285" s="4">
        <v>46284</v>
      </c>
      <c r="C285" s="3" t="s">
        <v>30</v>
      </c>
      <c r="D285" s="3" t="s">
        <v>21</v>
      </c>
      <c r="E285" s="3" t="s">
        <v>34</v>
      </c>
      <c r="F285" s="3">
        <v>691</v>
      </c>
      <c r="G285" s="3">
        <v>673</v>
      </c>
      <c r="H285" s="3">
        <v>18</v>
      </c>
      <c r="I285" s="5">
        <f t="shared" si="25"/>
        <v>2.6049204052098408E-2</v>
      </c>
      <c r="J285" s="6">
        <f t="shared" si="30"/>
        <v>26049.204052098408</v>
      </c>
      <c r="K285" s="7">
        <v>0.6</v>
      </c>
      <c r="L285" s="3">
        <v>416</v>
      </c>
      <c r="M285" s="3">
        <v>450</v>
      </c>
      <c r="N285" s="3">
        <v>34</v>
      </c>
      <c r="O285" s="5">
        <f t="shared" si="26"/>
        <v>0.9244444444444444</v>
      </c>
      <c r="P285" s="5">
        <f t="shared" si="27"/>
        <v>0.99663461538461529</v>
      </c>
      <c r="Q285" s="5">
        <f t="shared" si="28"/>
        <v>0.97395079594790157</v>
      </c>
      <c r="R285" s="5">
        <f t="shared" si="29"/>
        <v>0.89733333333333321</v>
      </c>
    </row>
    <row r="286" spans="1:18" x14ac:dyDescent="0.25">
      <c r="A286" s="3">
        <v>282</v>
      </c>
      <c r="B286" s="4">
        <v>46284</v>
      </c>
      <c r="C286" s="3" t="s">
        <v>30</v>
      </c>
      <c r="D286" s="3" t="s">
        <v>23</v>
      </c>
      <c r="E286" s="3" t="s">
        <v>35</v>
      </c>
      <c r="F286" s="3">
        <v>316</v>
      </c>
      <c r="G286" s="3">
        <v>304</v>
      </c>
      <c r="H286" s="3">
        <v>12</v>
      </c>
      <c r="I286" s="5">
        <f t="shared" si="25"/>
        <v>3.7974683544303799E-2</v>
      </c>
      <c r="J286" s="6">
        <f t="shared" si="30"/>
        <v>37974.6835443038</v>
      </c>
      <c r="K286" s="7">
        <v>1.3</v>
      </c>
      <c r="L286" s="3">
        <v>422</v>
      </c>
      <c r="M286" s="3">
        <v>450</v>
      </c>
      <c r="N286" s="3">
        <v>28</v>
      </c>
      <c r="O286" s="5">
        <f t="shared" si="26"/>
        <v>0.93777777777777782</v>
      </c>
      <c r="P286" s="5">
        <f t="shared" si="27"/>
        <v>0.97345971563981049</v>
      </c>
      <c r="Q286" s="5">
        <f t="shared" si="28"/>
        <v>0.96202531645569622</v>
      </c>
      <c r="R286" s="5">
        <f t="shared" si="29"/>
        <v>0.87822222222222235</v>
      </c>
    </row>
    <row r="287" spans="1:18" x14ac:dyDescent="0.25">
      <c r="A287" s="3">
        <v>283</v>
      </c>
      <c r="B287" s="4">
        <v>46284</v>
      </c>
      <c r="C287" s="3" t="s">
        <v>33</v>
      </c>
      <c r="D287" s="3" t="s">
        <v>19</v>
      </c>
      <c r="E287" s="3" t="s">
        <v>29</v>
      </c>
      <c r="F287" s="3">
        <v>384</v>
      </c>
      <c r="G287" s="3">
        <v>379</v>
      </c>
      <c r="H287" s="3">
        <v>5</v>
      </c>
      <c r="I287" s="5">
        <f t="shared" si="25"/>
        <v>1.3020833333333334E-2</v>
      </c>
      <c r="J287" s="6">
        <f t="shared" si="30"/>
        <v>13020.833333333334</v>
      </c>
      <c r="K287" s="7">
        <v>1.04</v>
      </c>
      <c r="L287" s="3">
        <v>417</v>
      </c>
      <c r="M287" s="3">
        <v>450</v>
      </c>
      <c r="N287" s="3">
        <v>33</v>
      </c>
      <c r="O287" s="5">
        <f t="shared" si="26"/>
        <v>0.92666666666666664</v>
      </c>
      <c r="P287" s="5">
        <f t="shared" si="27"/>
        <v>0.95769784172661876</v>
      </c>
      <c r="Q287" s="5">
        <f t="shared" si="28"/>
        <v>0.98697916666666663</v>
      </c>
      <c r="R287" s="5">
        <f t="shared" si="29"/>
        <v>0.8759111111111112</v>
      </c>
    </row>
    <row r="288" spans="1:18" x14ac:dyDescent="0.25">
      <c r="A288" s="3">
        <v>284</v>
      </c>
      <c r="B288" s="4">
        <v>46284</v>
      </c>
      <c r="C288" s="3" t="s">
        <v>33</v>
      </c>
      <c r="D288" s="3" t="s">
        <v>21</v>
      </c>
      <c r="E288" s="3" t="s">
        <v>32</v>
      </c>
      <c r="F288" s="3">
        <v>204</v>
      </c>
      <c r="G288" s="3">
        <v>202</v>
      </c>
      <c r="H288" s="3">
        <v>2</v>
      </c>
      <c r="I288" s="5">
        <f t="shared" si="25"/>
        <v>9.8039215686274508E-3</v>
      </c>
      <c r="J288" s="6">
        <f t="shared" si="30"/>
        <v>9803.9215686274511</v>
      </c>
      <c r="K288" s="7">
        <v>1.59</v>
      </c>
      <c r="L288" s="3">
        <v>414</v>
      </c>
      <c r="M288" s="3">
        <v>450</v>
      </c>
      <c r="N288" s="3">
        <v>36</v>
      </c>
      <c r="O288" s="5">
        <f t="shared" si="26"/>
        <v>0.92</v>
      </c>
      <c r="P288" s="5">
        <f t="shared" si="27"/>
        <v>0.78347826086956529</v>
      </c>
      <c r="Q288" s="5">
        <f t="shared" si="28"/>
        <v>0.99019607843137258</v>
      </c>
      <c r="R288" s="5">
        <f t="shared" si="29"/>
        <v>0.71373333333333344</v>
      </c>
    </row>
    <row r="289" spans="1:18" x14ac:dyDescent="0.25">
      <c r="A289" s="3">
        <v>285</v>
      </c>
      <c r="B289" s="4">
        <v>46284</v>
      </c>
      <c r="C289" s="3" t="s">
        <v>33</v>
      </c>
      <c r="D289" s="3" t="s">
        <v>23</v>
      </c>
      <c r="E289" s="3" t="s">
        <v>31</v>
      </c>
      <c r="F289" s="3">
        <v>232</v>
      </c>
      <c r="G289" s="3">
        <v>229</v>
      </c>
      <c r="H289" s="3">
        <v>3</v>
      </c>
      <c r="I289" s="5">
        <f t="shared" si="25"/>
        <v>1.2931034482758621E-2</v>
      </c>
      <c r="J289" s="6">
        <f t="shared" si="30"/>
        <v>12931.034482758621</v>
      </c>
      <c r="K289" s="7">
        <v>1.51</v>
      </c>
      <c r="L289" s="3">
        <v>429</v>
      </c>
      <c r="M289" s="3">
        <v>450</v>
      </c>
      <c r="N289" s="3">
        <v>21</v>
      </c>
      <c r="O289" s="5">
        <f t="shared" si="26"/>
        <v>0.95333333333333337</v>
      </c>
      <c r="P289" s="5">
        <f t="shared" si="27"/>
        <v>0.81659673659673659</v>
      </c>
      <c r="Q289" s="5">
        <f t="shared" si="28"/>
        <v>0.98706896551724133</v>
      </c>
      <c r="R289" s="5">
        <f t="shared" si="29"/>
        <v>0.76842222222222223</v>
      </c>
    </row>
    <row r="290" spans="1:18" x14ac:dyDescent="0.25">
      <c r="A290" s="3">
        <v>286</v>
      </c>
      <c r="B290" s="4">
        <v>46285</v>
      </c>
      <c r="C290" s="3" t="s">
        <v>18</v>
      </c>
      <c r="D290" s="3" t="s">
        <v>19</v>
      </c>
      <c r="E290" s="3" t="s">
        <v>27</v>
      </c>
      <c r="F290" s="3">
        <v>376</v>
      </c>
      <c r="G290" s="3">
        <v>374</v>
      </c>
      <c r="H290" s="3">
        <v>2</v>
      </c>
      <c r="I290" s="5">
        <f t="shared" si="25"/>
        <v>5.3191489361702126E-3</v>
      </c>
      <c r="J290" s="6">
        <f t="shared" si="30"/>
        <v>5319.1489361702124</v>
      </c>
      <c r="K290" s="7">
        <v>1.1200000000000001</v>
      </c>
      <c r="L290" s="3">
        <v>425</v>
      </c>
      <c r="M290" s="3">
        <v>450</v>
      </c>
      <c r="N290" s="3">
        <v>25</v>
      </c>
      <c r="O290" s="5">
        <f t="shared" si="26"/>
        <v>0.94444444444444442</v>
      </c>
      <c r="P290" s="5">
        <f t="shared" si="27"/>
        <v>0.99087058823529428</v>
      </c>
      <c r="Q290" s="5">
        <f t="shared" si="28"/>
        <v>0.99468085106382975</v>
      </c>
      <c r="R290" s="5">
        <f t="shared" si="29"/>
        <v>0.93084444444444447</v>
      </c>
    </row>
    <row r="291" spans="1:18" x14ac:dyDescent="0.25">
      <c r="A291" s="3">
        <v>287</v>
      </c>
      <c r="B291" s="4">
        <v>46285</v>
      </c>
      <c r="C291" s="3" t="s">
        <v>18</v>
      </c>
      <c r="D291" s="3" t="s">
        <v>21</v>
      </c>
      <c r="E291" s="3" t="s">
        <v>32</v>
      </c>
      <c r="F291" s="3">
        <v>1073</v>
      </c>
      <c r="G291" s="3">
        <v>1057</v>
      </c>
      <c r="H291" s="3">
        <v>16</v>
      </c>
      <c r="I291" s="5">
        <f t="shared" si="25"/>
        <v>1.4911463187325256E-2</v>
      </c>
      <c r="J291" s="6">
        <f t="shared" si="30"/>
        <v>14911.463187325257</v>
      </c>
      <c r="K291" s="7">
        <v>0.39</v>
      </c>
      <c r="L291" s="3">
        <v>411</v>
      </c>
      <c r="M291" s="3">
        <v>450</v>
      </c>
      <c r="N291" s="3">
        <v>39</v>
      </c>
      <c r="O291" s="5">
        <f t="shared" si="26"/>
        <v>0.91333333333333333</v>
      </c>
      <c r="P291" s="5">
        <f t="shared" si="27"/>
        <v>1.018175182481752</v>
      </c>
      <c r="Q291" s="5">
        <f t="shared" si="28"/>
        <v>0.98508853681267472</v>
      </c>
      <c r="R291" s="5">
        <f t="shared" si="29"/>
        <v>0.91606666666666681</v>
      </c>
    </row>
    <row r="292" spans="1:18" x14ac:dyDescent="0.25">
      <c r="A292" s="3">
        <v>288</v>
      </c>
      <c r="B292" s="4">
        <v>46285</v>
      </c>
      <c r="C292" s="3" t="s">
        <v>18</v>
      </c>
      <c r="D292" s="3" t="s">
        <v>23</v>
      </c>
      <c r="E292" s="3" t="s">
        <v>20</v>
      </c>
      <c r="F292" s="3">
        <v>240</v>
      </c>
      <c r="G292" s="3">
        <v>236</v>
      </c>
      <c r="H292" s="3">
        <v>4</v>
      </c>
      <c r="I292" s="5">
        <f t="shared" si="25"/>
        <v>1.6666666666666666E-2</v>
      </c>
      <c r="J292" s="6">
        <f t="shared" si="30"/>
        <v>16666.666666666668</v>
      </c>
      <c r="K292" s="7">
        <v>1.74</v>
      </c>
      <c r="L292" s="3">
        <v>417</v>
      </c>
      <c r="M292" s="3">
        <v>450</v>
      </c>
      <c r="N292" s="3">
        <v>33</v>
      </c>
      <c r="O292" s="5">
        <f t="shared" si="26"/>
        <v>0.92666666666666664</v>
      </c>
      <c r="P292" s="5">
        <f t="shared" si="27"/>
        <v>1.0014388489208634</v>
      </c>
      <c r="Q292" s="5">
        <f t="shared" si="28"/>
        <v>0.98333333333333328</v>
      </c>
      <c r="R292" s="5">
        <f t="shared" si="29"/>
        <v>0.91253333333333331</v>
      </c>
    </row>
    <row r="293" spans="1:18" x14ac:dyDescent="0.25">
      <c r="A293" s="3">
        <v>289</v>
      </c>
      <c r="B293" s="4">
        <v>46285</v>
      </c>
      <c r="C293" s="3" t="s">
        <v>25</v>
      </c>
      <c r="D293" s="3" t="s">
        <v>19</v>
      </c>
      <c r="E293" s="3" t="s">
        <v>34</v>
      </c>
      <c r="F293" s="3">
        <v>230</v>
      </c>
      <c r="G293" s="3">
        <v>225</v>
      </c>
      <c r="H293" s="3">
        <v>5</v>
      </c>
      <c r="I293" s="5">
        <f t="shared" si="25"/>
        <v>2.1739130434782608E-2</v>
      </c>
      <c r="J293" s="6">
        <f t="shared" si="30"/>
        <v>21739.130434782608</v>
      </c>
      <c r="K293" s="7">
        <v>1.53</v>
      </c>
      <c r="L293" s="3">
        <v>389</v>
      </c>
      <c r="M293" s="3">
        <v>450</v>
      </c>
      <c r="N293" s="3">
        <v>61</v>
      </c>
      <c r="O293" s="5">
        <f t="shared" si="26"/>
        <v>0.86444444444444446</v>
      </c>
      <c r="P293" s="5">
        <f t="shared" si="27"/>
        <v>0.90462724935732652</v>
      </c>
      <c r="Q293" s="5">
        <f t="shared" si="28"/>
        <v>0.97826086956521741</v>
      </c>
      <c r="R293" s="5">
        <f t="shared" si="29"/>
        <v>0.76500000000000001</v>
      </c>
    </row>
    <row r="294" spans="1:18" x14ac:dyDescent="0.25">
      <c r="A294" s="3">
        <v>290</v>
      </c>
      <c r="B294" s="4">
        <v>46285</v>
      </c>
      <c r="C294" s="3" t="s">
        <v>25</v>
      </c>
      <c r="D294" s="3" t="s">
        <v>21</v>
      </c>
      <c r="E294" s="3" t="s">
        <v>31</v>
      </c>
      <c r="F294" s="3">
        <v>258</v>
      </c>
      <c r="G294" s="3">
        <v>249</v>
      </c>
      <c r="H294" s="3">
        <v>9</v>
      </c>
      <c r="I294" s="5">
        <f t="shared" si="25"/>
        <v>3.4883720930232558E-2</v>
      </c>
      <c r="J294" s="6">
        <f t="shared" si="30"/>
        <v>34883.720930232557</v>
      </c>
      <c r="K294" s="7">
        <v>1.53</v>
      </c>
      <c r="L294" s="3">
        <v>404</v>
      </c>
      <c r="M294" s="3">
        <v>450</v>
      </c>
      <c r="N294" s="3">
        <v>46</v>
      </c>
      <c r="O294" s="5">
        <f t="shared" si="26"/>
        <v>0.89777777777777779</v>
      </c>
      <c r="P294" s="5">
        <f t="shared" si="27"/>
        <v>0.97707920792079206</v>
      </c>
      <c r="Q294" s="5">
        <f t="shared" si="28"/>
        <v>0.96511627906976749</v>
      </c>
      <c r="R294" s="5">
        <f t="shared" si="29"/>
        <v>0.84660000000000002</v>
      </c>
    </row>
    <row r="295" spans="1:18" x14ac:dyDescent="0.25">
      <c r="A295" s="3">
        <v>291</v>
      </c>
      <c r="B295" s="4">
        <v>46285</v>
      </c>
      <c r="C295" s="3" t="s">
        <v>25</v>
      </c>
      <c r="D295" s="3" t="s">
        <v>23</v>
      </c>
      <c r="E295" s="3" t="s">
        <v>32</v>
      </c>
      <c r="F295" s="3">
        <v>227</v>
      </c>
      <c r="G295" s="3">
        <v>218</v>
      </c>
      <c r="H295" s="3">
        <v>9</v>
      </c>
      <c r="I295" s="5">
        <f t="shared" si="25"/>
        <v>3.9647577092511016E-2</v>
      </c>
      <c r="J295" s="6">
        <f t="shared" si="30"/>
        <v>39647.577092511019</v>
      </c>
      <c r="K295" s="7">
        <v>1.8</v>
      </c>
      <c r="L295" s="3">
        <v>417</v>
      </c>
      <c r="M295" s="3">
        <v>450</v>
      </c>
      <c r="N295" s="3">
        <v>33</v>
      </c>
      <c r="O295" s="5">
        <f t="shared" si="26"/>
        <v>0.92666666666666664</v>
      </c>
      <c r="P295" s="5">
        <f t="shared" si="27"/>
        <v>0.97985611510791371</v>
      </c>
      <c r="Q295" s="5">
        <f t="shared" si="28"/>
        <v>0.96035242290748901</v>
      </c>
      <c r="R295" s="5">
        <f t="shared" si="29"/>
        <v>0.872</v>
      </c>
    </row>
    <row r="296" spans="1:18" x14ac:dyDescent="0.25">
      <c r="A296" s="3">
        <v>292</v>
      </c>
      <c r="B296" s="4">
        <v>46285</v>
      </c>
      <c r="C296" s="3" t="s">
        <v>28</v>
      </c>
      <c r="D296" s="3" t="s">
        <v>19</v>
      </c>
      <c r="E296" s="3" t="s">
        <v>24</v>
      </c>
      <c r="F296" s="3">
        <v>498</v>
      </c>
      <c r="G296" s="3">
        <v>488</v>
      </c>
      <c r="H296" s="3">
        <v>10</v>
      </c>
      <c r="I296" s="5">
        <f t="shared" si="25"/>
        <v>2.0080321285140562E-2</v>
      </c>
      <c r="J296" s="6">
        <f t="shared" si="30"/>
        <v>20080.321285140562</v>
      </c>
      <c r="K296" s="7">
        <v>0.66</v>
      </c>
      <c r="L296" s="3">
        <v>416</v>
      </c>
      <c r="M296" s="3">
        <v>450</v>
      </c>
      <c r="N296" s="3">
        <v>34</v>
      </c>
      <c r="O296" s="5">
        <f t="shared" si="26"/>
        <v>0.9244444444444444</v>
      </c>
      <c r="P296" s="5">
        <f t="shared" si="27"/>
        <v>0.79009615384615384</v>
      </c>
      <c r="Q296" s="5">
        <f t="shared" si="28"/>
        <v>0.97991967871485941</v>
      </c>
      <c r="R296" s="5">
        <f t="shared" si="29"/>
        <v>0.71573333333333322</v>
      </c>
    </row>
    <row r="297" spans="1:18" x14ac:dyDescent="0.25">
      <c r="A297" s="3">
        <v>293</v>
      </c>
      <c r="B297" s="4">
        <v>46285</v>
      </c>
      <c r="C297" s="3" t="s">
        <v>28</v>
      </c>
      <c r="D297" s="3" t="s">
        <v>21</v>
      </c>
      <c r="E297" s="3" t="s">
        <v>22</v>
      </c>
      <c r="F297" s="3">
        <v>234</v>
      </c>
      <c r="G297" s="3">
        <v>233</v>
      </c>
      <c r="H297" s="3">
        <v>1</v>
      </c>
      <c r="I297" s="5">
        <f t="shared" si="25"/>
        <v>4.2735042735042739E-3</v>
      </c>
      <c r="J297" s="6">
        <f t="shared" si="30"/>
        <v>4273.5042735042744</v>
      </c>
      <c r="K297" s="7">
        <v>1.59</v>
      </c>
      <c r="L297" s="3">
        <v>391</v>
      </c>
      <c r="M297" s="3">
        <v>450</v>
      </c>
      <c r="N297" s="3">
        <v>59</v>
      </c>
      <c r="O297" s="5">
        <f t="shared" si="26"/>
        <v>0.86888888888888893</v>
      </c>
      <c r="P297" s="5">
        <f t="shared" si="27"/>
        <v>0.95156010230179033</v>
      </c>
      <c r="Q297" s="5">
        <f t="shared" si="28"/>
        <v>0.99572649572649574</v>
      </c>
      <c r="R297" s="5">
        <f t="shared" si="29"/>
        <v>0.82326666666666681</v>
      </c>
    </row>
    <row r="298" spans="1:18" x14ac:dyDescent="0.25">
      <c r="A298" s="3">
        <v>294</v>
      </c>
      <c r="B298" s="4">
        <v>46285</v>
      </c>
      <c r="C298" s="3" t="s">
        <v>28</v>
      </c>
      <c r="D298" s="3" t="s">
        <v>23</v>
      </c>
      <c r="E298" s="3" t="s">
        <v>35</v>
      </c>
      <c r="F298" s="3">
        <v>459</v>
      </c>
      <c r="G298" s="3">
        <v>455</v>
      </c>
      <c r="H298" s="3">
        <v>4</v>
      </c>
      <c r="I298" s="5">
        <f t="shared" si="25"/>
        <v>8.7145969498910684E-3</v>
      </c>
      <c r="J298" s="6">
        <f t="shared" si="30"/>
        <v>8714.596949891069</v>
      </c>
      <c r="K298" s="7">
        <v>0.87</v>
      </c>
      <c r="L298" s="3">
        <v>428</v>
      </c>
      <c r="M298" s="3">
        <v>450</v>
      </c>
      <c r="N298" s="3">
        <v>22</v>
      </c>
      <c r="O298" s="5">
        <f t="shared" si="26"/>
        <v>0.95111111111111113</v>
      </c>
      <c r="P298" s="5">
        <f t="shared" si="27"/>
        <v>0.93301401869158873</v>
      </c>
      <c r="Q298" s="5">
        <f t="shared" si="28"/>
        <v>0.99128540305010893</v>
      </c>
      <c r="R298" s="5">
        <f t="shared" si="29"/>
        <v>0.8796666666666666</v>
      </c>
    </row>
    <row r="299" spans="1:18" x14ac:dyDescent="0.25">
      <c r="A299" s="3">
        <v>295</v>
      </c>
      <c r="B299" s="4">
        <v>46285</v>
      </c>
      <c r="C299" s="3" t="s">
        <v>30</v>
      </c>
      <c r="D299" s="3" t="s">
        <v>19</v>
      </c>
      <c r="E299" s="3" t="s">
        <v>26</v>
      </c>
      <c r="F299" s="3">
        <v>237</v>
      </c>
      <c r="G299" s="3">
        <v>234</v>
      </c>
      <c r="H299" s="3">
        <v>3</v>
      </c>
      <c r="I299" s="5">
        <f t="shared" si="25"/>
        <v>1.2658227848101266E-2</v>
      </c>
      <c r="J299" s="6">
        <f t="shared" si="30"/>
        <v>12658.227848101265</v>
      </c>
      <c r="K299" s="7">
        <v>1.65</v>
      </c>
      <c r="L299" s="3">
        <v>389</v>
      </c>
      <c r="M299" s="3">
        <v>450</v>
      </c>
      <c r="N299" s="3">
        <v>61</v>
      </c>
      <c r="O299" s="5">
        <f t="shared" si="26"/>
        <v>0.86444444444444446</v>
      </c>
      <c r="P299" s="5">
        <f t="shared" si="27"/>
        <v>1.0052699228791773</v>
      </c>
      <c r="Q299" s="5">
        <f t="shared" si="28"/>
        <v>0.98734177215189878</v>
      </c>
      <c r="R299" s="5">
        <f t="shared" si="29"/>
        <v>0.85799999999999987</v>
      </c>
    </row>
    <row r="300" spans="1:18" x14ac:dyDescent="0.25">
      <c r="A300" s="3">
        <v>296</v>
      </c>
      <c r="B300" s="4">
        <v>46285</v>
      </c>
      <c r="C300" s="3" t="s">
        <v>30</v>
      </c>
      <c r="D300" s="3" t="s">
        <v>21</v>
      </c>
      <c r="E300" s="3" t="s">
        <v>34</v>
      </c>
      <c r="F300" s="3">
        <v>226</v>
      </c>
      <c r="G300" s="3">
        <v>225</v>
      </c>
      <c r="H300" s="3">
        <v>1</v>
      </c>
      <c r="I300" s="5">
        <f t="shared" si="25"/>
        <v>4.4247787610619468E-3</v>
      </c>
      <c r="J300" s="6">
        <f t="shared" si="30"/>
        <v>4424.7787610619471</v>
      </c>
      <c r="K300" s="7">
        <v>1.79</v>
      </c>
      <c r="L300" s="3">
        <v>436</v>
      </c>
      <c r="M300" s="3">
        <v>450</v>
      </c>
      <c r="N300" s="3">
        <v>14</v>
      </c>
      <c r="O300" s="5">
        <f t="shared" si="26"/>
        <v>0.96888888888888891</v>
      </c>
      <c r="P300" s="5">
        <f t="shared" si="27"/>
        <v>0.9278440366972478</v>
      </c>
      <c r="Q300" s="5">
        <f t="shared" si="28"/>
        <v>0.99557522123893805</v>
      </c>
      <c r="R300" s="5">
        <f t="shared" si="29"/>
        <v>0.89500000000000013</v>
      </c>
    </row>
    <row r="301" spans="1:18" x14ac:dyDescent="0.25">
      <c r="A301" s="3">
        <v>297</v>
      </c>
      <c r="B301" s="4">
        <v>46285</v>
      </c>
      <c r="C301" s="3" t="s">
        <v>30</v>
      </c>
      <c r="D301" s="3" t="s">
        <v>23</v>
      </c>
      <c r="E301" s="3" t="s">
        <v>34</v>
      </c>
      <c r="F301" s="3">
        <v>914</v>
      </c>
      <c r="G301" s="3">
        <v>880</v>
      </c>
      <c r="H301" s="3">
        <v>34</v>
      </c>
      <c r="I301" s="5">
        <f t="shared" si="25"/>
        <v>3.7199124726477024E-2</v>
      </c>
      <c r="J301" s="6">
        <f t="shared" si="30"/>
        <v>37199.124726477021</v>
      </c>
      <c r="K301" s="7">
        <v>0.44</v>
      </c>
      <c r="L301" s="3">
        <v>434</v>
      </c>
      <c r="M301" s="3">
        <v>450</v>
      </c>
      <c r="N301" s="3">
        <v>16</v>
      </c>
      <c r="O301" s="5">
        <f t="shared" si="26"/>
        <v>0.96444444444444444</v>
      </c>
      <c r="P301" s="5">
        <f t="shared" si="27"/>
        <v>0.92663594470046085</v>
      </c>
      <c r="Q301" s="5">
        <f t="shared" si="28"/>
        <v>0.96280087527352298</v>
      </c>
      <c r="R301" s="5">
        <f t="shared" si="29"/>
        <v>0.86044444444444446</v>
      </c>
    </row>
    <row r="302" spans="1:18" x14ac:dyDescent="0.25">
      <c r="A302" s="3">
        <v>298</v>
      </c>
      <c r="B302" s="4">
        <v>46285</v>
      </c>
      <c r="C302" s="3" t="s">
        <v>33</v>
      </c>
      <c r="D302" s="3" t="s">
        <v>19</v>
      </c>
      <c r="E302" s="3" t="s">
        <v>26</v>
      </c>
      <c r="F302" s="3">
        <v>422</v>
      </c>
      <c r="G302" s="3">
        <v>410</v>
      </c>
      <c r="H302" s="3">
        <v>12</v>
      </c>
      <c r="I302" s="5">
        <f t="shared" si="25"/>
        <v>2.843601895734597E-2</v>
      </c>
      <c r="J302" s="6">
        <f t="shared" si="30"/>
        <v>28436.018957345972</v>
      </c>
      <c r="K302" s="7">
        <v>0.93</v>
      </c>
      <c r="L302" s="3">
        <v>441</v>
      </c>
      <c r="M302" s="3">
        <v>450</v>
      </c>
      <c r="N302" s="3">
        <v>9</v>
      </c>
      <c r="O302" s="5">
        <f t="shared" si="26"/>
        <v>0.98</v>
      </c>
      <c r="P302" s="5">
        <f t="shared" si="27"/>
        <v>0.88993197278911573</v>
      </c>
      <c r="Q302" s="5">
        <f t="shared" si="28"/>
        <v>0.97156398104265407</v>
      </c>
      <c r="R302" s="5">
        <f t="shared" si="29"/>
        <v>0.84733333333333349</v>
      </c>
    </row>
    <row r="303" spans="1:18" x14ac:dyDescent="0.25">
      <c r="A303" s="3">
        <v>299</v>
      </c>
      <c r="B303" s="4">
        <v>46285</v>
      </c>
      <c r="C303" s="3" t="s">
        <v>33</v>
      </c>
      <c r="D303" s="3" t="s">
        <v>21</v>
      </c>
      <c r="E303" s="3" t="s">
        <v>35</v>
      </c>
      <c r="F303" s="3">
        <v>342</v>
      </c>
      <c r="G303" s="3">
        <v>331</v>
      </c>
      <c r="H303" s="3">
        <v>11</v>
      </c>
      <c r="I303" s="5">
        <f t="shared" si="25"/>
        <v>3.2163742690058478E-2</v>
      </c>
      <c r="J303" s="6">
        <f t="shared" si="30"/>
        <v>32163.742690058476</v>
      </c>
      <c r="K303" s="7">
        <v>1.1200000000000001</v>
      </c>
      <c r="L303" s="3">
        <v>427</v>
      </c>
      <c r="M303" s="3">
        <v>450</v>
      </c>
      <c r="N303" s="3">
        <v>23</v>
      </c>
      <c r="O303" s="5">
        <f t="shared" si="26"/>
        <v>0.94888888888888889</v>
      </c>
      <c r="P303" s="5">
        <f t="shared" si="27"/>
        <v>0.89704918032786896</v>
      </c>
      <c r="Q303" s="5">
        <f t="shared" si="28"/>
        <v>0.96783625730994149</v>
      </c>
      <c r="R303" s="5">
        <f t="shared" si="29"/>
        <v>0.82382222222222223</v>
      </c>
    </row>
    <row r="304" spans="1:18" x14ac:dyDescent="0.25">
      <c r="A304" s="3">
        <v>300</v>
      </c>
      <c r="B304" s="4">
        <v>46285</v>
      </c>
      <c r="C304" s="3" t="s">
        <v>33</v>
      </c>
      <c r="D304" s="3" t="s">
        <v>23</v>
      </c>
      <c r="E304" s="3" t="s">
        <v>20</v>
      </c>
      <c r="F304" s="3">
        <v>194</v>
      </c>
      <c r="G304" s="3">
        <v>193</v>
      </c>
      <c r="H304" s="3">
        <v>1</v>
      </c>
      <c r="I304" s="5">
        <f t="shared" si="25"/>
        <v>5.1546391752577319E-3</v>
      </c>
      <c r="J304" s="6">
        <f t="shared" si="30"/>
        <v>5154.6391752577319</v>
      </c>
      <c r="K304" s="7">
        <v>1.8</v>
      </c>
      <c r="L304" s="3">
        <v>404</v>
      </c>
      <c r="M304" s="3">
        <v>450</v>
      </c>
      <c r="N304" s="3">
        <v>46</v>
      </c>
      <c r="O304" s="5">
        <f t="shared" si="26"/>
        <v>0.89777777777777779</v>
      </c>
      <c r="P304" s="5">
        <f t="shared" si="27"/>
        <v>0.86435643564356435</v>
      </c>
      <c r="Q304" s="5">
        <f t="shared" si="28"/>
        <v>0.99484536082474229</v>
      </c>
      <c r="R304" s="5">
        <f t="shared" si="29"/>
        <v>0.77200000000000002</v>
      </c>
    </row>
    <row r="305" spans="1:18" x14ac:dyDescent="0.25">
      <c r="A305" s="3">
        <v>301</v>
      </c>
      <c r="B305" s="4">
        <v>46286</v>
      </c>
      <c r="C305" s="3" t="s">
        <v>18</v>
      </c>
      <c r="D305" s="3" t="s">
        <v>19</v>
      </c>
      <c r="E305" s="3" t="s">
        <v>35</v>
      </c>
      <c r="F305" s="3">
        <v>689</v>
      </c>
      <c r="G305" s="3">
        <v>660</v>
      </c>
      <c r="H305" s="3">
        <v>29</v>
      </c>
      <c r="I305" s="5">
        <f t="shared" si="25"/>
        <v>4.2089985486211901E-2</v>
      </c>
      <c r="J305" s="6">
        <f t="shared" si="30"/>
        <v>42089.985486211903</v>
      </c>
      <c r="K305" s="7">
        <v>0.53</v>
      </c>
      <c r="L305" s="3">
        <v>422</v>
      </c>
      <c r="M305" s="3">
        <v>450</v>
      </c>
      <c r="N305" s="3">
        <v>28</v>
      </c>
      <c r="O305" s="5">
        <f t="shared" si="26"/>
        <v>0.93777777777777782</v>
      </c>
      <c r="P305" s="5">
        <f t="shared" si="27"/>
        <v>0.86533175355450243</v>
      </c>
      <c r="Q305" s="5">
        <f t="shared" si="28"/>
        <v>0.9579100145137881</v>
      </c>
      <c r="R305" s="5">
        <f t="shared" si="29"/>
        <v>0.77733333333333332</v>
      </c>
    </row>
    <row r="306" spans="1:18" x14ac:dyDescent="0.25">
      <c r="A306" s="3">
        <v>302</v>
      </c>
      <c r="B306" s="4">
        <v>46286</v>
      </c>
      <c r="C306" s="3" t="s">
        <v>18</v>
      </c>
      <c r="D306" s="3" t="s">
        <v>21</v>
      </c>
      <c r="E306" s="3" t="s">
        <v>29</v>
      </c>
      <c r="F306" s="3">
        <v>297</v>
      </c>
      <c r="G306" s="3">
        <v>286</v>
      </c>
      <c r="H306" s="3">
        <v>11</v>
      </c>
      <c r="I306" s="5">
        <f t="shared" si="25"/>
        <v>3.7037037037037035E-2</v>
      </c>
      <c r="J306" s="6">
        <f t="shared" si="30"/>
        <v>37037.037037037036</v>
      </c>
      <c r="K306" s="7">
        <v>1.26</v>
      </c>
      <c r="L306" s="3">
        <v>412</v>
      </c>
      <c r="M306" s="3">
        <v>450</v>
      </c>
      <c r="N306" s="3">
        <v>38</v>
      </c>
      <c r="O306" s="5">
        <f t="shared" si="26"/>
        <v>0.91555555555555557</v>
      </c>
      <c r="P306" s="5">
        <f t="shared" si="27"/>
        <v>0.90830097087378647</v>
      </c>
      <c r="Q306" s="5">
        <f t="shared" si="28"/>
        <v>0.96296296296296291</v>
      </c>
      <c r="R306" s="5">
        <f t="shared" si="29"/>
        <v>0.80080000000000007</v>
      </c>
    </row>
    <row r="307" spans="1:18" x14ac:dyDescent="0.25">
      <c r="A307" s="3">
        <v>303</v>
      </c>
      <c r="B307" s="4">
        <v>46286</v>
      </c>
      <c r="C307" s="3" t="s">
        <v>18</v>
      </c>
      <c r="D307" s="3" t="s">
        <v>23</v>
      </c>
      <c r="E307" s="3" t="s">
        <v>35</v>
      </c>
      <c r="F307" s="3">
        <v>431</v>
      </c>
      <c r="G307" s="3">
        <v>418</v>
      </c>
      <c r="H307" s="3">
        <v>13</v>
      </c>
      <c r="I307" s="5">
        <f t="shared" si="25"/>
        <v>3.0162412993039442E-2</v>
      </c>
      <c r="J307" s="6">
        <f t="shared" si="30"/>
        <v>30162.412993039441</v>
      </c>
      <c r="K307" s="7">
        <v>0.72</v>
      </c>
      <c r="L307" s="3">
        <v>398</v>
      </c>
      <c r="M307" s="3">
        <v>450</v>
      </c>
      <c r="N307" s="3">
        <v>52</v>
      </c>
      <c r="O307" s="5">
        <f t="shared" si="26"/>
        <v>0.88444444444444448</v>
      </c>
      <c r="P307" s="5">
        <f t="shared" si="27"/>
        <v>0.77969849246231149</v>
      </c>
      <c r="Q307" s="5">
        <f t="shared" si="28"/>
        <v>0.96983758700696054</v>
      </c>
      <c r="R307" s="5">
        <f t="shared" si="29"/>
        <v>0.66879999999999995</v>
      </c>
    </row>
    <row r="308" spans="1:18" x14ac:dyDescent="0.25">
      <c r="A308" s="3">
        <v>304</v>
      </c>
      <c r="B308" s="4">
        <v>46286</v>
      </c>
      <c r="C308" s="3" t="s">
        <v>25</v>
      </c>
      <c r="D308" s="3" t="s">
        <v>19</v>
      </c>
      <c r="E308" s="3" t="s">
        <v>22</v>
      </c>
      <c r="F308" s="3">
        <v>225</v>
      </c>
      <c r="G308" s="3">
        <v>216</v>
      </c>
      <c r="H308" s="3">
        <v>9</v>
      </c>
      <c r="I308" s="5">
        <f t="shared" si="25"/>
        <v>0.04</v>
      </c>
      <c r="J308" s="6">
        <f t="shared" si="30"/>
        <v>40000</v>
      </c>
      <c r="K308" s="7">
        <v>1.71</v>
      </c>
      <c r="L308" s="3">
        <v>395</v>
      </c>
      <c r="M308" s="3">
        <v>450</v>
      </c>
      <c r="N308" s="3">
        <v>55</v>
      </c>
      <c r="O308" s="5">
        <f t="shared" si="26"/>
        <v>0.87777777777777777</v>
      </c>
      <c r="P308" s="5">
        <f t="shared" si="27"/>
        <v>0.97405063291139238</v>
      </c>
      <c r="Q308" s="5">
        <f t="shared" si="28"/>
        <v>0.96</v>
      </c>
      <c r="R308" s="5">
        <f t="shared" si="29"/>
        <v>0.82079999999999997</v>
      </c>
    </row>
    <row r="309" spans="1:18" x14ac:dyDescent="0.25">
      <c r="A309" s="3">
        <v>305</v>
      </c>
      <c r="B309" s="4">
        <v>46286</v>
      </c>
      <c r="C309" s="3" t="s">
        <v>25</v>
      </c>
      <c r="D309" s="3" t="s">
        <v>21</v>
      </c>
      <c r="E309" s="3" t="s">
        <v>32</v>
      </c>
      <c r="F309" s="3">
        <v>404</v>
      </c>
      <c r="G309" s="3">
        <v>392</v>
      </c>
      <c r="H309" s="3">
        <v>12</v>
      </c>
      <c r="I309" s="5">
        <f t="shared" si="25"/>
        <v>2.9702970297029702E-2</v>
      </c>
      <c r="J309" s="6">
        <f t="shared" si="30"/>
        <v>29702.9702970297</v>
      </c>
      <c r="K309" s="7">
        <v>0.93</v>
      </c>
      <c r="L309" s="3">
        <v>410</v>
      </c>
      <c r="M309" s="3">
        <v>450</v>
      </c>
      <c r="N309" s="3">
        <v>40</v>
      </c>
      <c r="O309" s="5">
        <f t="shared" si="26"/>
        <v>0.91111111111111109</v>
      </c>
      <c r="P309" s="5">
        <f t="shared" si="27"/>
        <v>0.91639024390243906</v>
      </c>
      <c r="Q309" s="5">
        <f t="shared" si="28"/>
        <v>0.97029702970297027</v>
      </c>
      <c r="R309" s="5">
        <f t="shared" si="29"/>
        <v>0.81013333333333326</v>
      </c>
    </row>
    <row r="310" spans="1:18" x14ac:dyDescent="0.25">
      <c r="A310" s="3">
        <v>306</v>
      </c>
      <c r="B310" s="4">
        <v>46286</v>
      </c>
      <c r="C310" s="3" t="s">
        <v>25</v>
      </c>
      <c r="D310" s="3" t="s">
        <v>23</v>
      </c>
      <c r="E310" s="3" t="s">
        <v>24</v>
      </c>
      <c r="F310" s="3">
        <v>745</v>
      </c>
      <c r="G310" s="3">
        <v>726</v>
      </c>
      <c r="H310" s="3">
        <v>19</v>
      </c>
      <c r="I310" s="5">
        <f t="shared" si="25"/>
        <v>2.5503355704697986E-2</v>
      </c>
      <c r="J310" s="6">
        <f t="shared" si="30"/>
        <v>25503.355704697984</v>
      </c>
      <c r="K310" s="7">
        <v>0.44</v>
      </c>
      <c r="L310" s="3">
        <v>395</v>
      </c>
      <c r="M310" s="3">
        <v>450</v>
      </c>
      <c r="N310" s="3">
        <v>55</v>
      </c>
      <c r="O310" s="5">
        <f t="shared" si="26"/>
        <v>0.87777777777777777</v>
      </c>
      <c r="P310" s="5">
        <f t="shared" si="27"/>
        <v>0.82987341772151901</v>
      </c>
      <c r="Q310" s="5">
        <f t="shared" si="28"/>
        <v>0.97449664429530203</v>
      </c>
      <c r="R310" s="5">
        <f t="shared" si="29"/>
        <v>0.70986666666666665</v>
      </c>
    </row>
    <row r="311" spans="1:18" x14ac:dyDescent="0.25">
      <c r="A311" s="3">
        <v>307</v>
      </c>
      <c r="B311" s="4">
        <v>46286</v>
      </c>
      <c r="C311" s="3" t="s">
        <v>28</v>
      </c>
      <c r="D311" s="3" t="s">
        <v>19</v>
      </c>
      <c r="E311" s="3" t="s">
        <v>26</v>
      </c>
      <c r="F311" s="3">
        <v>999</v>
      </c>
      <c r="G311" s="3">
        <v>957</v>
      </c>
      <c r="H311" s="3">
        <v>42</v>
      </c>
      <c r="I311" s="5">
        <f t="shared" si="25"/>
        <v>4.2042042042042045E-2</v>
      </c>
      <c r="J311" s="6">
        <f t="shared" si="30"/>
        <v>42042.042042042049</v>
      </c>
      <c r="K311" s="7">
        <v>0.44</v>
      </c>
      <c r="L311" s="3">
        <v>444</v>
      </c>
      <c r="M311" s="3">
        <v>450</v>
      </c>
      <c r="N311" s="3">
        <v>6</v>
      </c>
      <c r="O311" s="5">
        <f t="shared" si="26"/>
        <v>0.98666666666666669</v>
      </c>
      <c r="P311" s="5">
        <f t="shared" si="27"/>
        <v>0.99</v>
      </c>
      <c r="Q311" s="5">
        <f t="shared" si="28"/>
        <v>0.95795795795795791</v>
      </c>
      <c r="R311" s="5">
        <f t="shared" si="29"/>
        <v>0.93573333333333331</v>
      </c>
    </row>
    <row r="312" spans="1:18" x14ac:dyDescent="0.25">
      <c r="A312" s="3">
        <v>308</v>
      </c>
      <c r="B312" s="4">
        <v>46286</v>
      </c>
      <c r="C312" s="3" t="s">
        <v>28</v>
      </c>
      <c r="D312" s="3" t="s">
        <v>21</v>
      </c>
      <c r="E312" s="3" t="s">
        <v>20</v>
      </c>
      <c r="F312" s="3">
        <v>811</v>
      </c>
      <c r="G312" s="3">
        <v>806</v>
      </c>
      <c r="H312" s="3">
        <v>5</v>
      </c>
      <c r="I312" s="5">
        <f t="shared" si="25"/>
        <v>6.1652281134401974E-3</v>
      </c>
      <c r="J312" s="6">
        <f t="shared" si="30"/>
        <v>6165.2281134401974</v>
      </c>
      <c r="K312" s="7">
        <v>0.5</v>
      </c>
      <c r="L312" s="3">
        <v>400</v>
      </c>
      <c r="M312" s="3">
        <v>450</v>
      </c>
      <c r="N312" s="3">
        <v>50</v>
      </c>
      <c r="O312" s="5">
        <f t="shared" si="26"/>
        <v>0.88888888888888884</v>
      </c>
      <c r="P312" s="5">
        <f t="shared" si="27"/>
        <v>1.0137499999999999</v>
      </c>
      <c r="Q312" s="5">
        <f t="shared" si="28"/>
        <v>0.99383477188655978</v>
      </c>
      <c r="R312" s="5">
        <f t="shared" si="29"/>
        <v>0.89555555555555544</v>
      </c>
    </row>
    <row r="313" spans="1:18" x14ac:dyDescent="0.25">
      <c r="A313" s="3">
        <v>309</v>
      </c>
      <c r="B313" s="4">
        <v>46286</v>
      </c>
      <c r="C313" s="3" t="s">
        <v>28</v>
      </c>
      <c r="D313" s="3" t="s">
        <v>23</v>
      </c>
      <c r="E313" s="3" t="s">
        <v>34</v>
      </c>
      <c r="F313" s="3">
        <v>340</v>
      </c>
      <c r="G313" s="3">
        <v>339</v>
      </c>
      <c r="H313" s="3">
        <v>1</v>
      </c>
      <c r="I313" s="5">
        <f t="shared" si="25"/>
        <v>2.9411764705882353E-3</v>
      </c>
      <c r="J313" s="6">
        <f t="shared" si="30"/>
        <v>2941.1764705882351</v>
      </c>
      <c r="K313" s="7">
        <v>1.04</v>
      </c>
      <c r="L313" s="3">
        <v>444</v>
      </c>
      <c r="M313" s="3">
        <v>450</v>
      </c>
      <c r="N313" s="3">
        <v>6</v>
      </c>
      <c r="O313" s="5">
        <f t="shared" si="26"/>
        <v>0.98666666666666669</v>
      </c>
      <c r="P313" s="5">
        <f t="shared" si="27"/>
        <v>0.79639639639639648</v>
      </c>
      <c r="Q313" s="5">
        <f t="shared" si="28"/>
        <v>0.99705882352941178</v>
      </c>
      <c r="R313" s="5">
        <f t="shared" si="29"/>
        <v>0.78346666666666676</v>
      </c>
    </row>
    <row r="314" spans="1:18" x14ac:dyDescent="0.25">
      <c r="A314" s="3">
        <v>310</v>
      </c>
      <c r="B314" s="4">
        <v>46286</v>
      </c>
      <c r="C314" s="3" t="s">
        <v>30</v>
      </c>
      <c r="D314" s="3" t="s">
        <v>19</v>
      </c>
      <c r="E314" s="3" t="s">
        <v>20</v>
      </c>
      <c r="F314" s="3">
        <v>917</v>
      </c>
      <c r="G314" s="3">
        <v>883</v>
      </c>
      <c r="H314" s="3">
        <v>34</v>
      </c>
      <c r="I314" s="5">
        <f t="shared" si="25"/>
        <v>3.7077426390403491E-2</v>
      </c>
      <c r="J314" s="6">
        <f t="shared" si="30"/>
        <v>37077.426390403489</v>
      </c>
      <c r="K314" s="7">
        <v>0.39</v>
      </c>
      <c r="L314" s="3">
        <v>394</v>
      </c>
      <c r="M314" s="3">
        <v>450</v>
      </c>
      <c r="N314" s="3">
        <v>56</v>
      </c>
      <c r="O314" s="5">
        <f t="shared" si="26"/>
        <v>0.87555555555555553</v>
      </c>
      <c r="P314" s="5">
        <f t="shared" si="27"/>
        <v>0.90769035532994924</v>
      </c>
      <c r="Q314" s="5">
        <f t="shared" si="28"/>
        <v>0.96292257360959654</v>
      </c>
      <c r="R314" s="5">
        <f t="shared" si="29"/>
        <v>0.76526666666666665</v>
      </c>
    </row>
    <row r="315" spans="1:18" x14ac:dyDescent="0.25">
      <c r="A315" s="3">
        <v>311</v>
      </c>
      <c r="B315" s="4">
        <v>46286</v>
      </c>
      <c r="C315" s="3" t="s">
        <v>30</v>
      </c>
      <c r="D315" s="3" t="s">
        <v>21</v>
      </c>
      <c r="E315" s="3" t="s">
        <v>26</v>
      </c>
      <c r="F315" s="3">
        <v>772</v>
      </c>
      <c r="G315" s="3">
        <v>762</v>
      </c>
      <c r="H315" s="3">
        <v>10</v>
      </c>
      <c r="I315" s="5">
        <f t="shared" si="25"/>
        <v>1.2953367875647668E-2</v>
      </c>
      <c r="J315" s="6">
        <f t="shared" si="30"/>
        <v>12953.367875647667</v>
      </c>
      <c r="K315" s="7">
        <v>0.53</v>
      </c>
      <c r="L315" s="3">
        <v>444</v>
      </c>
      <c r="M315" s="3">
        <v>450</v>
      </c>
      <c r="N315" s="3">
        <v>6</v>
      </c>
      <c r="O315" s="5">
        <f t="shared" si="26"/>
        <v>0.98666666666666669</v>
      </c>
      <c r="P315" s="5">
        <f t="shared" si="27"/>
        <v>0.92153153153153156</v>
      </c>
      <c r="Q315" s="5">
        <f t="shared" si="28"/>
        <v>0.98704663212435229</v>
      </c>
      <c r="R315" s="5">
        <f t="shared" si="29"/>
        <v>0.89746666666666675</v>
      </c>
    </row>
    <row r="316" spans="1:18" x14ac:dyDescent="0.25">
      <c r="A316" s="3">
        <v>312</v>
      </c>
      <c r="B316" s="4">
        <v>46286</v>
      </c>
      <c r="C316" s="3" t="s">
        <v>30</v>
      </c>
      <c r="D316" s="3" t="s">
        <v>23</v>
      </c>
      <c r="E316" s="3" t="s">
        <v>31</v>
      </c>
      <c r="F316" s="3">
        <v>316</v>
      </c>
      <c r="G316" s="3">
        <v>305</v>
      </c>
      <c r="H316" s="3">
        <v>11</v>
      </c>
      <c r="I316" s="5">
        <f t="shared" si="25"/>
        <v>3.4810126582278479E-2</v>
      </c>
      <c r="J316" s="6">
        <f t="shared" si="30"/>
        <v>34810.126582278477</v>
      </c>
      <c r="K316" s="7">
        <v>1.41</v>
      </c>
      <c r="L316" s="3">
        <v>438</v>
      </c>
      <c r="M316" s="3">
        <v>450</v>
      </c>
      <c r="N316" s="3">
        <v>12</v>
      </c>
      <c r="O316" s="5">
        <f t="shared" si="26"/>
        <v>0.97333333333333338</v>
      </c>
      <c r="P316" s="5">
        <f t="shared" si="27"/>
        <v>1.0172602739726027</v>
      </c>
      <c r="Q316" s="5">
        <f t="shared" si="28"/>
        <v>0.96518987341772156</v>
      </c>
      <c r="R316" s="5">
        <f t="shared" si="29"/>
        <v>0.95566666666666666</v>
      </c>
    </row>
    <row r="317" spans="1:18" x14ac:dyDescent="0.25">
      <c r="A317" s="3">
        <v>313</v>
      </c>
      <c r="B317" s="4">
        <v>46286</v>
      </c>
      <c r="C317" s="3" t="s">
        <v>33</v>
      </c>
      <c r="D317" s="3" t="s">
        <v>19</v>
      </c>
      <c r="E317" s="3" t="s">
        <v>22</v>
      </c>
      <c r="F317" s="3">
        <v>244</v>
      </c>
      <c r="G317" s="3">
        <v>241</v>
      </c>
      <c r="H317" s="3">
        <v>3</v>
      </c>
      <c r="I317" s="5">
        <f t="shared" si="25"/>
        <v>1.2295081967213115E-2</v>
      </c>
      <c r="J317" s="6">
        <f t="shared" si="30"/>
        <v>12295.081967213115</v>
      </c>
      <c r="K317" s="7">
        <v>1.62</v>
      </c>
      <c r="L317" s="3">
        <v>401</v>
      </c>
      <c r="M317" s="3">
        <v>450</v>
      </c>
      <c r="N317" s="3">
        <v>49</v>
      </c>
      <c r="O317" s="5">
        <f t="shared" si="26"/>
        <v>0.89111111111111108</v>
      </c>
      <c r="P317" s="5">
        <f t="shared" si="27"/>
        <v>0.98573566084788034</v>
      </c>
      <c r="Q317" s="5">
        <f t="shared" si="28"/>
        <v>0.98770491803278693</v>
      </c>
      <c r="R317" s="5">
        <f t="shared" si="29"/>
        <v>0.86760000000000004</v>
      </c>
    </row>
    <row r="318" spans="1:18" x14ac:dyDescent="0.25">
      <c r="A318" s="3">
        <v>314</v>
      </c>
      <c r="B318" s="4">
        <v>46286</v>
      </c>
      <c r="C318" s="3" t="s">
        <v>33</v>
      </c>
      <c r="D318" s="3" t="s">
        <v>21</v>
      </c>
      <c r="E318" s="3" t="s">
        <v>22</v>
      </c>
      <c r="F318" s="3">
        <v>868</v>
      </c>
      <c r="G318" s="3">
        <v>864</v>
      </c>
      <c r="H318" s="3">
        <v>4</v>
      </c>
      <c r="I318" s="5">
        <f t="shared" si="25"/>
        <v>4.608294930875576E-3</v>
      </c>
      <c r="J318" s="6">
        <f t="shared" si="30"/>
        <v>4608.294930875576</v>
      </c>
      <c r="K318" s="7">
        <v>0.45</v>
      </c>
      <c r="L318" s="3">
        <v>414</v>
      </c>
      <c r="M318" s="3">
        <v>450</v>
      </c>
      <c r="N318" s="3">
        <v>36</v>
      </c>
      <c r="O318" s="5">
        <f t="shared" si="26"/>
        <v>0.92</v>
      </c>
      <c r="P318" s="5">
        <f t="shared" si="27"/>
        <v>0.94347826086956532</v>
      </c>
      <c r="Q318" s="5">
        <f t="shared" si="28"/>
        <v>0.99539170506912444</v>
      </c>
      <c r="R318" s="5">
        <f t="shared" si="29"/>
        <v>0.8640000000000001</v>
      </c>
    </row>
    <row r="319" spans="1:18" x14ac:dyDescent="0.25">
      <c r="A319" s="3">
        <v>315</v>
      </c>
      <c r="B319" s="4">
        <v>46286</v>
      </c>
      <c r="C319" s="3" t="s">
        <v>33</v>
      </c>
      <c r="D319" s="3" t="s">
        <v>23</v>
      </c>
      <c r="E319" s="3" t="s">
        <v>35</v>
      </c>
      <c r="F319" s="3">
        <v>267</v>
      </c>
      <c r="G319" s="3">
        <v>263</v>
      </c>
      <c r="H319" s="3">
        <v>4</v>
      </c>
      <c r="I319" s="5">
        <f t="shared" si="25"/>
        <v>1.4981273408239701E-2</v>
      </c>
      <c r="J319" s="6">
        <f t="shared" si="30"/>
        <v>14981.2734082397</v>
      </c>
      <c r="K319" s="7">
        <v>1.64</v>
      </c>
      <c r="L319" s="3">
        <v>431</v>
      </c>
      <c r="M319" s="3">
        <v>450</v>
      </c>
      <c r="N319" s="3">
        <v>19</v>
      </c>
      <c r="O319" s="5">
        <f t="shared" si="26"/>
        <v>0.95777777777777773</v>
      </c>
      <c r="P319" s="5">
        <f t="shared" si="27"/>
        <v>1.0159628770301623</v>
      </c>
      <c r="Q319" s="5">
        <f t="shared" si="28"/>
        <v>0.98501872659176026</v>
      </c>
      <c r="R319" s="5">
        <f t="shared" si="29"/>
        <v>0.95848888888888872</v>
      </c>
    </row>
    <row r="320" spans="1:18" x14ac:dyDescent="0.25">
      <c r="A320" s="3">
        <v>316</v>
      </c>
      <c r="B320" s="4">
        <v>46287</v>
      </c>
      <c r="C320" s="3" t="s">
        <v>18</v>
      </c>
      <c r="D320" s="3" t="s">
        <v>19</v>
      </c>
      <c r="E320" s="3" t="s">
        <v>26</v>
      </c>
      <c r="F320" s="3">
        <v>370</v>
      </c>
      <c r="G320" s="3">
        <v>365</v>
      </c>
      <c r="H320" s="3">
        <v>5</v>
      </c>
      <c r="I320" s="5">
        <f t="shared" si="25"/>
        <v>1.3513513513513514E-2</v>
      </c>
      <c r="J320" s="6">
        <f t="shared" si="30"/>
        <v>13513.513513513515</v>
      </c>
      <c r="K320" s="7">
        <v>1.05</v>
      </c>
      <c r="L320" s="3">
        <v>403</v>
      </c>
      <c r="M320" s="3">
        <v>450</v>
      </c>
      <c r="N320" s="3">
        <v>47</v>
      </c>
      <c r="O320" s="5">
        <f t="shared" si="26"/>
        <v>0.89555555555555555</v>
      </c>
      <c r="P320" s="5">
        <f t="shared" si="27"/>
        <v>0.96401985111662536</v>
      </c>
      <c r="Q320" s="5">
        <f t="shared" si="28"/>
        <v>0.98648648648648651</v>
      </c>
      <c r="R320" s="5">
        <f t="shared" si="29"/>
        <v>0.85166666666666679</v>
      </c>
    </row>
    <row r="321" spans="1:18" x14ac:dyDescent="0.25">
      <c r="A321" s="3">
        <v>317</v>
      </c>
      <c r="B321" s="4">
        <v>46287</v>
      </c>
      <c r="C321" s="3" t="s">
        <v>18</v>
      </c>
      <c r="D321" s="3" t="s">
        <v>21</v>
      </c>
      <c r="E321" s="3" t="s">
        <v>27</v>
      </c>
      <c r="F321" s="3">
        <v>349</v>
      </c>
      <c r="G321" s="3">
        <v>337</v>
      </c>
      <c r="H321" s="3">
        <v>12</v>
      </c>
      <c r="I321" s="5">
        <f t="shared" si="25"/>
        <v>3.4383954154727794E-2</v>
      </c>
      <c r="J321" s="6">
        <f t="shared" si="30"/>
        <v>34383.954154727791</v>
      </c>
      <c r="K321" s="7">
        <v>1.1399999999999999</v>
      </c>
      <c r="L321" s="3">
        <v>389</v>
      </c>
      <c r="M321" s="3">
        <v>450</v>
      </c>
      <c r="N321" s="3">
        <v>61</v>
      </c>
      <c r="O321" s="5">
        <f t="shared" si="26"/>
        <v>0.86444444444444446</v>
      </c>
      <c r="P321" s="5">
        <f t="shared" si="27"/>
        <v>1.0227763496143958</v>
      </c>
      <c r="Q321" s="5">
        <f t="shared" si="28"/>
        <v>0.96561604584527216</v>
      </c>
      <c r="R321" s="5">
        <f t="shared" si="29"/>
        <v>0.85373333333333323</v>
      </c>
    </row>
    <row r="322" spans="1:18" x14ac:dyDescent="0.25">
      <c r="A322" s="3">
        <v>318</v>
      </c>
      <c r="B322" s="4">
        <v>46287</v>
      </c>
      <c r="C322" s="3" t="s">
        <v>18</v>
      </c>
      <c r="D322" s="3" t="s">
        <v>23</v>
      </c>
      <c r="E322" s="3" t="s">
        <v>31</v>
      </c>
      <c r="F322" s="3">
        <v>700</v>
      </c>
      <c r="G322" s="3">
        <v>681</v>
      </c>
      <c r="H322" s="3">
        <v>19</v>
      </c>
      <c r="I322" s="5">
        <f t="shared" si="25"/>
        <v>2.7142857142857142E-2</v>
      </c>
      <c r="J322" s="6">
        <f t="shared" si="30"/>
        <v>27142.857142857141</v>
      </c>
      <c r="K322" s="7">
        <v>0.52</v>
      </c>
      <c r="L322" s="3">
        <v>405</v>
      </c>
      <c r="M322" s="3">
        <v>450</v>
      </c>
      <c r="N322" s="3">
        <v>45</v>
      </c>
      <c r="O322" s="5">
        <f t="shared" si="26"/>
        <v>0.9</v>
      </c>
      <c r="P322" s="5">
        <f t="shared" si="27"/>
        <v>0.89876543209876547</v>
      </c>
      <c r="Q322" s="5">
        <f t="shared" si="28"/>
        <v>0.97285714285714286</v>
      </c>
      <c r="R322" s="5">
        <f t="shared" si="29"/>
        <v>0.78693333333333348</v>
      </c>
    </row>
    <row r="323" spans="1:18" x14ac:dyDescent="0.25">
      <c r="A323" s="3">
        <v>319</v>
      </c>
      <c r="B323" s="4">
        <v>46287</v>
      </c>
      <c r="C323" s="3" t="s">
        <v>25</v>
      </c>
      <c r="D323" s="3" t="s">
        <v>19</v>
      </c>
      <c r="E323" s="3" t="s">
        <v>26</v>
      </c>
      <c r="F323" s="3">
        <v>610</v>
      </c>
      <c r="G323" s="3">
        <v>605</v>
      </c>
      <c r="H323" s="3">
        <v>5</v>
      </c>
      <c r="I323" s="5">
        <f t="shared" si="25"/>
        <v>8.1967213114754103E-3</v>
      </c>
      <c r="J323" s="6">
        <f t="shared" si="30"/>
        <v>8196.7213114754104</v>
      </c>
      <c r="K323" s="7">
        <v>0.56000000000000005</v>
      </c>
      <c r="L323" s="3">
        <v>402</v>
      </c>
      <c r="M323" s="3">
        <v>450</v>
      </c>
      <c r="N323" s="3">
        <v>48</v>
      </c>
      <c r="O323" s="5">
        <f t="shared" si="26"/>
        <v>0.89333333333333331</v>
      </c>
      <c r="P323" s="5">
        <f t="shared" si="27"/>
        <v>0.84975124378109457</v>
      </c>
      <c r="Q323" s="5">
        <f t="shared" si="28"/>
        <v>0.99180327868852458</v>
      </c>
      <c r="R323" s="5">
        <f t="shared" si="29"/>
        <v>0.75288888888888894</v>
      </c>
    </row>
    <row r="324" spans="1:18" x14ac:dyDescent="0.25">
      <c r="A324" s="3">
        <v>320</v>
      </c>
      <c r="B324" s="4">
        <v>46287</v>
      </c>
      <c r="C324" s="3" t="s">
        <v>25</v>
      </c>
      <c r="D324" s="3" t="s">
        <v>21</v>
      </c>
      <c r="E324" s="3" t="s">
        <v>20</v>
      </c>
      <c r="F324" s="3">
        <v>315</v>
      </c>
      <c r="G324" s="3">
        <v>306</v>
      </c>
      <c r="H324" s="3">
        <v>9</v>
      </c>
      <c r="I324" s="5">
        <f t="shared" si="25"/>
        <v>2.8571428571428571E-2</v>
      </c>
      <c r="J324" s="6">
        <f t="shared" si="30"/>
        <v>28571.428571428569</v>
      </c>
      <c r="K324" s="7">
        <v>1.0900000000000001</v>
      </c>
      <c r="L324" s="3">
        <v>419</v>
      </c>
      <c r="M324" s="3">
        <v>450</v>
      </c>
      <c r="N324" s="3">
        <v>31</v>
      </c>
      <c r="O324" s="5">
        <f t="shared" si="26"/>
        <v>0.93111111111111111</v>
      </c>
      <c r="P324" s="5">
        <f t="shared" si="27"/>
        <v>0.81945107398568029</v>
      </c>
      <c r="Q324" s="5">
        <f t="shared" si="28"/>
        <v>0.97142857142857142</v>
      </c>
      <c r="R324" s="5">
        <f t="shared" si="29"/>
        <v>0.74120000000000008</v>
      </c>
    </row>
    <row r="325" spans="1:18" x14ac:dyDescent="0.25">
      <c r="A325" s="3">
        <v>321</v>
      </c>
      <c r="B325" s="4">
        <v>46287</v>
      </c>
      <c r="C325" s="3" t="s">
        <v>25</v>
      </c>
      <c r="D325" s="3" t="s">
        <v>23</v>
      </c>
      <c r="E325" s="3" t="s">
        <v>29</v>
      </c>
      <c r="F325" s="3">
        <v>580</v>
      </c>
      <c r="G325" s="3">
        <v>556</v>
      </c>
      <c r="H325" s="3">
        <v>24</v>
      </c>
      <c r="I325" s="5">
        <f t="shared" ref="I325:I388" si="31">IFERROR(H325/F325,0)</f>
        <v>4.1379310344827586E-2</v>
      </c>
      <c r="J325" s="6">
        <f t="shared" si="30"/>
        <v>41379.310344827587</v>
      </c>
      <c r="K325" s="7">
        <v>0.6</v>
      </c>
      <c r="L325" s="3">
        <v>420</v>
      </c>
      <c r="M325" s="3">
        <v>450</v>
      </c>
      <c r="N325" s="3">
        <v>30</v>
      </c>
      <c r="O325" s="5">
        <f t="shared" ref="O325:O388" si="32">IFERROR(L325/M325,0)</f>
        <v>0.93333333333333335</v>
      </c>
      <c r="P325" s="5">
        <f t="shared" ref="P325:P388" si="33">IFERROR(F325*K325/L325,0)</f>
        <v>0.82857142857142863</v>
      </c>
      <c r="Q325" s="5">
        <f t="shared" ref="Q325:Q388" si="34">IFERROR(G325/F325,0)</f>
        <v>0.95862068965517244</v>
      </c>
      <c r="R325" s="5">
        <f t="shared" ref="R325:R388" si="35">O325*P325*Q325</f>
        <v>0.7413333333333334</v>
      </c>
    </row>
    <row r="326" spans="1:18" x14ac:dyDescent="0.25">
      <c r="A326" s="3">
        <v>322</v>
      </c>
      <c r="B326" s="4">
        <v>46287</v>
      </c>
      <c r="C326" s="3" t="s">
        <v>28</v>
      </c>
      <c r="D326" s="3" t="s">
        <v>19</v>
      </c>
      <c r="E326" s="3" t="s">
        <v>26</v>
      </c>
      <c r="F326" s="3">
        <v>936</v>
      </c>
      <c r="G326" s="3">
        <v>921</v>
      </c>
      <c r="H326" s="3">
        <v>15</v>
      </c>
      <c r="I326" s="5">
        <f t="shared" si="31"/>
        <v>1.6025641025641024E-2</v>
      </c>
      <c r="J326" s="6">
        <f t="shared" ref="J326:J389" si="36">H326/F326*1000000</f>
        <v>16025.641025641024</v>
      </c>
      <c r="K326" s="7">
        <v>0.39</v>
      </c>
      <c r="L326" s="3">
        <v>401</v>
      </c>
      <c r="M326" s="3">
        <v>450</v>
      </c>
      <c r="N326" s="3">
        <v>49</v>
      </c>
      <c r="O326" s="5">
        <f t="shared" si="32"/>
        <v>0.89111111111111108</v>
      </c>
      <c r="P326" s="5">
        <f t="shared" si="33"/>
        <v>0.91032418952618455</v>
      </c>
      <c r="Q326" s="5">
        <f t="shared" si="34"/>
        <v>0.98397435897435892</v>
      </c>
      <c r="R326" s="5">
        <f t="shared" si="35"/>
        <v>0.79819999999999991</v>
      </c>
    </row>
    <row r="327" spans="1:18" x14ac:dyDescent="0.25">
      <c r="A327" s="3">
        <v>323</v>
      </c>
      <c r="B327" s="4">
        <v>46287</v>
      </c>
      <c r="C327" s="3" t="s">
        <v>28</v>
      </c>
      <c r="D327" s="3" t="s">
        <v>21</v>
      </c>
      <c r="E327" s="3" t="s">
        <v>31</v>
      </c>
      <c r="F327" s="3">
        <v>629</v>
      </c>
      <c r="G327" s="3">
        <v>603</v>
      </c>
      <c r="H327" s="3">
        <v>26</v>
      </c>
      <c r="I327" s="5">
        <f t="shared" si="31"/>
        <v>4.133545310015898E-2</v>
      </c>
      <c r="J327" s="6">
        <f t="shared" si="36"/>
        <v>41335.453100158978</v>
      </c>
      <c r="K327" s="7">
        <v>0.68</v>
      </c>
      <c r="L327" s="3">
        <v>432</v>
      </c>
      <c r="M327" s="3">
        <v>450</v>
      </c>
      <c r="N327" s="3">
        <v>18</v>
      </c>
      <c r="O327" s="5">
        <f t="shared" si="32"/>
        <v>0.96</v>
      </c>
      <c r="P327" s="5">
        <f t="shared" si="33"/>
        <v>0.99009259259259264</v>
      </c>
      <c r="Q327" s="5">
        <f t="shared" si="34"/>
        <v>0.95866454689984104</v>
      </c>
      <c r="R327" s="5">
        <f t="shared" si="35"/>
        <v>0.91120000000000012</v>
      </c>
    </row>
    <row r="328" spans="1:18" x14ac:dyDescent="0.25">
      <c r="A328" s="3">
        <v>324</v>
      </c>
      <c r="B328" s="4">
        <v>46287</v>
      </c>
      <c r="C328" s="3" t="s">
        <v>28</v>
      </c>
      <c r="D328" s="3" t="s">
        <v>23</v>
      </c>
      <c r="E328" s="3" t="s">
        <v>26</v>
      </c>
      <c r="F328" s="3">
        <v>432</v>
      </c>
      <c r="G328" s="3">
        <v>418</v>
      </c>
      <c r="H328" s="3">
        <v>14</v>
      </c>
      <c r="I328" s="5">
        <f t="shared" si="31"/>
        <v>3.2407407407407406E-2</v>
      </c>
      <c r="J328" s="6">
        <f t="shared" si="36"/>
        <v>32407.407407407405</v>
      </c>
      <c r="K328" s="7">
        <v>0.79</v>
      </c>
      <c r="L328" s="3">
        <v>417</v>
      </c>
      <c r="M328" s="3">
        <v>450</v>
      </c>
      <c r="N328" s="3">
        <v>33</v>
      </c>
      <c r="O328" s="5">
        <f t="shared" si="32"/>
        <v>0.92666666666666664</v>
      </c>
      <c r="P328" s="5">
        <f t="shared" si="33"/>
        <v>0.81841726618705046</v>
      </c>
      <c r="Q328" s="5">
        <f t="shared" si="34"/>
        <v>0.96759259259259256</v>
      </c>
      <c r="R328" s="5">
        <f t="shared" si="35"/>
        <v>0.73382222222222226</v>
      </c>
    </row>
    <row r="329" spans="1:18" x14ac:dyDescent="0.25">
      <c r="A329" s="3">
        <v>325</v>
      </c>
      <c r="B329" s="4">
        <v>46287</v>
      </c>
      <c r="C329" s="3" t="s">
        <v>30</v>
      </c>
      <c r="D329" s="3" t="s">
        <v>19</v>
      </c>
      <c r="E329" s="3" t="s">
        <v>26</v>
      </c>
      <c r="F329" s="3">
        <v>336</v>
      </c>
      <c r="G329" s="3">
        <v>328</v>
      </c>
      <c r="H329" s="3">
        <v>8</v>
      </c>
      <c r="I329" s="5">
        <f t="shared" si="31"/>
        <v>2.3809523809523808E-2</v>
      </c>
      <c r="J329" s="6">
        <f t="shared" si="36"/>
        <v>23809.523809523809</v>
      </c>
      <c r="K329" s="7">
        <v>1.19</v>
      </c>
      <c r="L329" s="3">
        <v>413</v>
      </c>
      <c r="M329" s="3">
        <v>450</v>
      </c>
      <c r="N329" s="3">
        <v>37</v>
      </c>
      <c r="O329" s="5">
        <f t="shared" si="32"/>
        <v>0.9177777777777778</v>
      </c>
      <c r="P329" s="5">
        <f t="shared" si="33"/>
        <v>0.96813559322033893</v>
      </c>
      <c r="Q329" s="5">
        <f t="shared" si="34"/>
        <v>0.97619047619047616</v>
      </c>
      <c r="R329" s="5">
        <f t="shared" si="35"/>
        <v>0.86737777777777769</v>
      </c>
    </row>
    <row r="330" spans="1:18" x14ac:dyDescent="0.25">
      <c r="A330" s="3">
        <v>326</v>
      </c>
      <c r="B330" s="4">
        <v>46287</v>
      </c>
      <c r="C330" s="3" t="s">
        <v>30</v>
      </c>
      <c r="D330" s="3" t="s">
        <v>21</v>
      </c>
      <c r="E330" s="3" t="s">
        <v>35</v>
      </c>
      <c r="F330" s="3">
        <v>289</v>
      </c>
      <c r="G330" s="3">
        <v>283</v>
      </c>
      <c r="H330" s="3">
        <v>6</v>
      </c>
      <c r="I330" s="5">
        <f t="shared" si="31"/>
        <v>2.0761245674740483E-2</v>
      </c>
      <c r="J330" s="6">
        <f t="shared" si="36"/>
        <v>20761.245674740483</v>
      </c>
      <c r="K330" s="7">
        <v>1.3</v>
      </c>
      <c r="L330" s="3">
        <v>433</v>
      </c>
      <c r="M330" s="3">
        <v>450</v>
      </c>
      <c r="N330" s="3">
        <v>17</v>
      </c>
      <c r="O330" s="5">
        <f t="shared" si="32"/>
        <v>0.9622222222222222</v>
      </c>
      <c r="P330" s="5">
        <f t="shared" si="33"/>
        <v>0.86766743648960731</v>
      </c>
      <c r="Q330" s="5">
        <f t="shared" si="34"/>
        <v>0.97923875432525953</v>
      </c>
      <c r="R330" s="5">
        <f t="shared" si="35"/>
        <v>0.81755555555555548</v>
      </c>
    </row>
    <row r="331" spans="1:18" x14ac:dyDescent="0.25">
      <c r="A331" s="3">
        <v>327</v>
      </c>
      <c r="B331" s="4">
        <v>46287</v>
      </c>
      <c r="C331" s="3" t="s">
        <v>30</v>
      </c>
      <c r="D331" s="3" t="s">
        <v>23</v>
      </c>
      <c r="E331" s="3" t="s">
        <v>27</v>
      </c>
      <c r="F331" s="3">
        <v>562</v>
      </c>
      <c r="G331" s="3">
        <v>542</v>
      </c>
      <c r="H331" s="3">
        <v>20</v>
      </c>
      <c r="I331" s="5">
        <f t="shared" si="31"/>
        <v>3.5587188612099648E-2</v>
      </c>
      <c r="J331" s="6">
        <f t="shared" si="36"/>
        <v>35587.18861209965</v>
      </c>
      <c r="K331" s="7">
        <v>0.61</v>
      </c>
      <c r="L331" s="3">
        <v>419</v>
      </c>
      <c r="M331" s="3">
        <v>450</v>
      </c>
      <c r="N331" s="3">
        <v>31</v>
      </c>
      <c r="O331" s="5">
        <f t="shared" si="32"/>
        <v>0.93111111111111111</v>
      </c>
      <c r="P331" s="5">
        <f t="shared" si="33"/>
        <v>0.81818615751789969</v>
      </c>
      <c r="Q331" s="5">
        <f t="shared" si="34"/>
        <v>0.96441281138790036</v>
      </c>
      <c r="R331" s="5">
        <f t="shared" si="35"/>
        <v>0.73471111111111109</v>
      </c>
    </row>
    <row r="332" spans="1:18" x14ac:dyDescent="0.25">
      <c r="A332" s="3">
        <v>328</v>
      </c>
      <c r="B332" s="4">
        <v>46287</v>
      </c>
      <c r="C332" s="3" t="s">
        <v>33</v>
      </c>
      <c r="D332" s="3" t="s">
        <v>19</v>
      </c>
      <c r="E332" s="3" t="s">
        <v>31</v>
      </c>
      <c r="F332" s="3">
        <v>255</v>
      </c>
      <c r="G332" s="3">
        <v>254</v>
      </c>
      <c r="H332" s="3">
        <v>1</v>
      </c>
      <c r="I332" s="5">
        <f t="shared" si="31"/>
        <v>3.9215686274509803E-3</v>
      </c>
      <c r="J332" s="6">
        <f t="shared" si="36"/>
        <v>3921.5686274509803</v>
      </c>
      <c r="K332" s="7">
        <v>1.51</v>
      </c>
      <c r="L332" s="3">
        <v>399</v>
      </c>
      <c r="M332" s="3">
        <v>450</v>
      </c>
      <c r="N332" s="3">
        <v>51</v>
      </c>
      <c r="O332" s="5">
        <f t="shared" si="32"/>
        <v>0.88666666666666671</v>
      </c>
      <c r="P332" s="5">
        <f t="shared" si="33"/>
        <v>0.96503759398496247</v>
      </c>
      <c r="Q332" s="5">
        <f t="shared" si="34"/>
        <v>0.99607843137254903</v>
      </c>
      <c r="R332" s="5">
        <f t="shared" si="35"/>
        <v>0.85231111111111124</v>
      </c>
    </row>
    <row r="333" spans="1:18" x14ac:dyDescent="0.25">
      <c r="A333" s="3">
        <v>329</v>
      </c>
      <c r="B333" s="4">
        <v>46287</v>
      </c>
      <c r="C333" s="3" t="s">
        <v>33</v>
      </c>
      <c r="D333" s="3" t="s">
        <v>21</v>
      </c>
      <c r="E333" s="3" t="s">
        <v>22</v>
      </c>
      <c r="F333" s="3">
        <v>492</v>
      </c>
      <c r="G333" s="3">
        <v>472</v>
      </c>
      <c r="H333" s="3">
        <v>20</v>
      </c>
      <c r="I333" s="5">
        <f t="shared" si="31"/>
        <v>4.065040650406504E-2</v>
      </c>
      <c r="J333" s="6">
        <f t="shared" si="36"/>
        <v>40650.406504065038</v>
      </c>
      <c r="K333" s="7">
        <v>0.75</v>
      </c>
      <c r="L333" s="3">
        <v>398</v>
      </c>
      <c r="M333" s="3">
        <v>450</v>
      </c>
      <c r="N333" s="3">
        <v>52</v>
      </c>
      <c r="O333" s="5">
        <f t="shared" si="32"/>
        <v>0.88444444444444448</v>
      </c>
      <c r="P333" s="5">
        <f t="shared" si="33"/>
        <v>0.92713567839195976</v>
      </c>
      <c r="Q333" s="5">
        <f t="shared" si="34"/>
        <v>0.95934959349593496</v>
      </c>
      <c r="R333" s="5">
        <f t="shared" si="35"/>
        <v>0.78666666666666663</v>
      </c>
    </row>
    <row r="334" spans="1:18" x14ac:dyDescent="0.25">
      <c r="A334" s="3">
        <v>330</v>
      </c>
      <c r="B334" s="4">
        <v>46287</v>
      </c>
      <c r="C334" s="3" t="s">
        <v>33</v>
      </c>
      <c r="D334" s="3" t="s">
        <v>23</v>
      </c>
      <c r="E334" s="3" t="s">
        <v>24</v>
      </c>
      <c r="F334" s="3">
        <v>467</v>
      </c>
      <c r="G334" s="3">
        <v>462</v>
      </c>
      <c r="H334" s="3">
        <v>5</v>
      </c>
      <c r="I334" s="5">
        <f t="shared" si="31"/>
        <v>1.0706638115631691E-2</v>
      </c>
      <c r="J334" s="6">
        <f t="shared" si="36"/>
        <v>10706.638115631691</v>
      </c>
      <c r="K334" s="7">
        <v>0.89</v>
      </c>
      <c r="L334" s="3">
        <v>417</v>
      </c>
      <c r="M334" s="3">
        <v>450</v>
      </c>
      <c r="N334" s="3">
        <v>33</v>
      </c>
      <c r="O334" s="5">
        <f t="shared" si="32"/>
        <v>0.92666666666666664</v>
      </c>
      <c r="P334" s="5">
        <f t="shared" si="33"/>
        <v>0.99671462829736213</v>
      </c>
      <c r="Q334" s="5">
        <f t="shared" si="34"/>
        <v>0.98929336188436834</v>
      </c>
      <c r="R334" s="5">
        <f t="shared" si="35"/>
        <v>0.9137333333333334</v>
      </c>
    </row>
    <row r="335" spans="1:18" x14ac:dyDescent="0.25">
      <c r="A335" s="3">
        <v>331</v>
      </c>
      <c r="B335" s="4">
        <v>46288</v>
      </c>
      <c r="C335" s="3" t="s">
        <v>18</v>
      </c>
      <c r="D335" s="3" t="s">
        <v>19</v>
      </c>
      <c r="E335" s="3" t="s">
        <v>27</v>
      </c>
      <c r="F335" s="3">
        <v>440</v>
      </c>
      <c r="G335" s="3">
        <v>436</v>
      </c>
      <c r="H335" s="3">
        <v>4</v>
      </c>
      <c r="I335" s="5">
        <f t="shared" si="31"/>
        <v>9.0909090909090905E-3</v>
      </c>
      <c r="J335" s="6">
        <f t="shared" si="36"/>
        <v>9090.9090909090901</v>
      </c>
      <c r="K335" s="7">
        <v>0.89</v>
      </c>
      <c r="L335" s="3">
        <v>406</v>
      </c>
      <c r="M335" s="3">
        <v>450</v>
      </c>
      <c r="N335" s="3">
        <v>44</v>
      </c>
      <c r="O335" s="5">
        <f t="shared" si="32"/>
        <v>0.90222222222222226</v>
      </c>
      <c r="P335" s="5">
        <f t="shared" si="33"/>
        <v>0.96453201970443359</v>
      </c>
      <c r="Q335" s="5">
        <f t="shared" si="34"/>
        <v>0.99090909090909096</v>
      </c>
      <c r="R335" s="5">
        <f t="shared" si="35"/>
        <v>0.86231111111111125</v>
      </c>
    </row>
    <row r="336" spans="1:18" x14ac:dyDescent="0.25">
      <c r="A336" s="3">
        <v>332</v>
      </c>
      <c r="B336" s="4">
        <v>46288</v>
      </c>
      <c r="C336" s="3" t="s">
        <v>18</v>
      </c>
      <c r="D336" s="3" t="s">
        <v>21</v>
      </c>
      <c r="E336" s="3" t="s">
        <v>27</v>
      </c>
      <c r="F336" s="3">
        <v>597</v>
      </c>
      <c r="G336" s="3">
        <v>582</v>
      </c>
      <c r="H336" s="3">
        <v>15</v>
      </c>
      <c r="I336" s="5">
        <f t="shared" si="31"/>
        <v>2.5125628140703519E-2</v>
      </c>
      <c r="J336" s="6">
        <f t="shared" si="36"/>
        <v>25125.62814070352</v>
      </c>
      <c r="K336" s="7">
        <v>0.72</v>
      </c>
      <c r="L336" s="3">
        <v>442</v>
      </c>
      <c r="M336" s="3">
        <v>450</v>
      </c>
      <c r="N336" s="3">
        <v>8</v>
      </c>
      <c r="O336" s="5">
        <f t="shared" si="32"/>
        <v>0.98222222222222222</v>
      </c>
      <c r="P336" s="5">
        <f t="shared" si="33"/>
        <v>0.97248868778280539</v>
      </c>
      <c r="Q336" s="5">
        <f t="shared" si="34"/>
        <v>0.97487437185929648</v>
      </c>
      <c r="R336" s="5">
        <f t="shared" si="35"/>
        <v>0.93119999999999992</v>
      </c>
    </row>
    <row r="337" spans="1:18" x14ac:dyDescent="0.25">
      <c r="A337" s="3">
        <v>333</v>
      </c>
      <c r="B337" s="4">
        <v>46288</v>
      </c>
      <c r="C337" s="3" t="s">
        <v>18</v>
      </c>
      <c r="D337" s="3" t="s">
        <v>23</v>
      </c>
      <c r="E337" s="3" t="s">
        <v>29</v>
      </c>
      <c r="F337" s="3">
        <v>1049</v>
      </c>
      <c r="G337" s="3">
        <v>1032</v>
      </c>
      <c r="H337" s="3">
        <v>17</v>
      </c>
      <c r="I337" s="5">
        <f t="shared" si="31"/>
        <v>1.6205910390848427E-2</v>
      </c>
      <c r="J337" s="6">
        <f t="shared" si="36"/>
        <v>16205.910390848427</v>
      </c>
      <c r="K337" s="7">
        <v>0.37</v>
      </c>
      <c r="L337" s="3">
        <v>428</v>
      </c>
      <c r="M337" s="3">
        <v>450</v>
      </c>
      <c r="N337" s="3">
        <v>22</v>
      </c>
      <c r="O337" s="5">
        <f t="shared" si="32"/>
        <v>0.95111111111111113</v>
      </c>
      <c r="P337" s="5">
        <f t="shared" si="33"/>
        <v>0.90684579439252333</v>
      </c>
      <c r="Q337" s="5">
        <f t="shared" si="34"/>
        <v>0.9837940896091516</v>
      </c>
      <c r="R337" s="5">
        <f t="shared" si="35"/>
        <v>0.84853333333333336</v>
      </c>
    </row>
    <row r="338" spans="1:18" x14ac:dyDescent="0.25">
      <c r="A338" s="3">
        <v>334</v>
      </c>
      <c r="B338" s="4">
        <v>46288</v>
      </c>
      <c r="C338" s="3" t="s">
        <v>25</v>
      </c>
      <c r="D338" s="3" t="s">
        <v>19</v>
      </c>
      <c r="E338" s="3" t="s">
        <v>24</v>
      </c>
      <c r="F338" s="3">
        <v>680</v>
      </c>
      <c r="G338" s="3">
        <v>671</v>
      </c>
      <c r="H338" s="3">
        <v>9</v>
      </c>
      <c r="I338" s="5">
        <f t="shared" si="31"/>
        <v>1.3235294117647059E-2</v>
      </c>
      <c r="J338" s="6">
        <f t="shared" si="36"/>
        <v>13235.294117647059</v>
      </c>
      <c r="K338" s="7">
        <v>0.61</v>
      </c>
      <c r="L338" s="3">
        <v>445</v>
      </c>
      <c r="M338" s="3">
        <v>450</v>
      </c>
      <c r="N338" s="3">
        <v>5</v>
      </c>
      <c r="O338" s="5">
        <f t="shared" si="32"/>
        <v>0.98888888888888893</v>
      </c>
      <c r="P338" s="5">
        <f t="shared" si="33"/>
        <v>0.93213483146067422</v>
      </c>
      <c r="Q338" s="5">
        <f t="shared" si="34"/>
        <v>0.98676470588235299</v>
      </c>
      <c r="R338" s="5">
        <f t="shared" si="35"/>
        <v>0.90957777777777793</v>
      </c>
    </row>
    <row r="339" spans="1:18" x14ac:dyDescent="0.25">
      <c r="A339" s="3">
        <v>335</v>
      </c>
      <c r="B339" s="4">
        <v>46288</v>
      </c>
      <c r="C339" s="3" t="s">
        <v>25</v>
      </c>
      <c r="D339" s="3" t="s">
        <v>21</v>
      </c>
      <c r="E339" s="3" t="s">
        <v>27</v>
      </c>
      <c r="F339" s="3">
        <v>293</v>
      </c>
      <c r="G339" s="3">
        <v>290</v>
      </c>
      <c r="H339" s="3">
        <v>3</v>
      </c>
      <c r="I339" s="5">
        <f t="shared" si="31"/>
        <v>1.0238907849829351E-2</v>
      </c>
      <c r="J339" s="6">
        <f t="shared" si="36"/>
        <v>10238.907849829351</v>
      </c>
      <c r="K339" s="7">
        <v>1.21</v>
      </c>
      <c r="L339" s="3">
        <v>430</v>
      </c>
      <c r="M339" s="3">
        <v>450</v>
      </c>
      <c r="N339" s="3">
        <v>20</v>
      </c>
      <c r="O339" s="5">
        <f t="shared" si="32"/>
        <v>0.9555555555555556</v>
      </c>
      <c r="P339" s="5">
        <f t="shared" si="33"/>
        <v>0.82448837209302317</v>
      </c>
      <c r="Q339" s="5">
        <f t="shared" si="34"/>
        <v>0.98976109215017061</v>
      </c>
      <c r="R339" s="5">
        <f t="shared" si="35"/>
        <v>0.77977777777777768</v>
      </c>
    </row>
    <row r="340" spans="1:18" x14ac:dyDescent="0.25">
      <c r="A340" s="3">
        <v>336</v>
      </c>
      <c r="B340" s="4">
        <v>46288</v>
      </c>
      <c r="C340" s="3" t="s">
        <v>25</v>
      </c>
      <c r="D340" s="3" t="s">
        <v>23</v>
      </c>
      <c r="E340" s="3" t="s">
        <v>20</v>
      </c>
      <c r="F340" s="3">
        <v>481</v>
      </c>
      <c r="G340" s="3">
        <v>473</v>
      </c>
      <c r="H340" s="3">
        <v>8</v>
      </c>
      <c r="I340" s="5">
        <f t="shared" si="31"/>
        <v>1.6632016632016633E-2</v>
      </c>
      <c r="J340" s="6">
        <f t="shared" si="36"/>
        <v>16632.016632016632</v>
      </c>
      <c r="K340" s="7">
        <v>0.69</v>
      </c>
      <c r="L340" s="3">
        <v>422</v>
      </c>
      <c r="M340" s="3">
        <v>450</v>
      </c>
      <c r="N340" s="3">
        <v>28</v>
      </c>
      <c r="O340" s="5">
        <f t="shared" si="32"/>
        <v>0.93777777777777782</v>
      </c>
      <c r="P340" s="5">
        <f t="shared" si="33"/>
        <v>0.78646919431279616</v>
      </c>
      <c r="Q340" s="5">
        <f t="shared" si="34"/>
        <v>0.98336798336798337</v>
      </c>
      <c r="R340" s="5">
        <f t="shared" si="35"/>
        <v>0.72526666666666673</v>
      </c>
    </row>
    <row r="341" spans="1:18" x14ac:dyDescent="0.25">
      <c r="A341" s="3">
        <v>337</v>
      </c>
      <c r="B341" s="4">
        <v>46288</v>
      </c>
      <c r="C341" s="3" t="s">
        <v>28</v>
      </c>
      <c r="D341" s="3" t="s">
        <v>19</v>
      </c>
      <c r="E341" s="3" t="s">
        <v>22</v>
      </c>
      <c r="F341" s="3">
        <v>208</v>
      </c>
      <c r="G341" s="3">
        <v>202</v>
      </c>
      <c r="H341" s="3">
        <v>6</v>
      </c>
      <c r="I341" s="5">
        <f t="shared" si="31"/>
        <v>2.8846153846153848E-2</v>
      </c>
      <c r="J341" s="6">
        <f t="shared" si="36"/>
        <v>28846.153846153848</v>
      </c>
      <c r="K341" s="7">
        <v>1.66</v>
      </c>
      <c r="L341" s="3">
        <v>397</v>
      </c>
      <c r="M341" s="3">
        <v>450</v>
      </c>
      <c r="N341" s="3">
        <v>53</v>
      </c>
      <c r="O341" s="5">
        <f t="shared" si="32"/>
        <v>0.88222222222222224</v>
      </c>
      <c r="P341" s="5">
        <f t="shared" si="33"/>
        <v>0.86972292191435763</v>
      </c>
      <c r="Q341" s="5">
        <f t="shared" si="34"/>
        <v>0.97115384615384615</v>
      </c>
      <c r="R341" s="5">
        <f t="shared" si="35"/>
        <v>0.74515555555555557</v>
      </c>
    </row>
    <row r="342" spans="1:18" x14ac:dyDescent="0.25">
      <c r="A342" s="3">
        <v>338</v>
      </c>
      <c r="B342" s="4">
        <v>46288</v>
      </c>
      <c r="C342" s="3" t="s">
        <v>28</v>
      </c>
      <c r="D342" s="3" t="s">
        <v>21</v>
      </c>
      <c r="E342" s="3" t="s">
        <v>27</v>
      </c>
      <c r="F342" s="3">
        <v>333</v>
      </c>
      <c r="G342" s="3">
        <v>329</v>
      </c>
      <c r="H342" s="3">
        <v>4</v>
      </c>
      <c r="I342" s="5">
        <f t="shared" si="31"/>
        <v>1.2012012012012012E-2</v>
      </c>
      <c r="J342" s="6">
        <f t="shared" si="36"/>
        <v>12012.012012012012</v>
      </c>
      <c r="K342" s="7">
        <v>1.17</v>
      </c>
      <c r="L342" s="3">
        <v>395</v>
      </c>
      <c r="M342" s="3">
        <v>450</v>
      </c>
      <c r="N342" s="3">
        <v>55</v>
      </c>
      <c r="O342" s="5">
        <f t="shared" si="32"/>
        <v>0.87777777777777777</v>
      </c>
      <c r="P342" s="5">
        <f t="shared" si="33"/>
        <v>0.98635443037974668</v>
      </c>
      <c r="Q342" s="5">
        <f t="shared" si="34"/>
        <v>0.98798798798798804</v>
      </c>
      <c r="R342" s="5">
        <f t="shared" si="35"/>
        <v>0.85539999999999994</v>
      </c>
    </row>
    <row r="343" spans="1:18" x14ac:dyDescent="0.25">
      <c r="A343" s="3">
        <v>339</v>
      </c>
      <c r="B343" s="4">
        <v>46288</v>
      </c>
      <c r="C343" s="3" t="s">
        <v>28</v>
      </c>
      <c r="D343" s="3" t="s">
        <v>23</v>
      </c>
      <c r="E343" s="3" t="s">
        <v>22</v>
      </c>
      <c r="F343" s="3">
        <v>429</v>
      </c>
      <c r="G343" s="3">
        <v>422</v>
      </c>
      <c r="H343" s="3">
        <v>7</v>
      </c>
      <c r="I343" s="5">
        <f t="shared" si="31"/>
        <v>1.6317016317016316E-2</v>
      </c>
      <c r="J343" s="6">
        <f t="shared" si="36"/>
        <v>16317.016317016316</v>
      </c>
      <c r="K343" s="7">
        <v>0.78</v>
      </c>
      <c r="L343" s="3">
        <v>424</v>
      </c>
      <c r="M343" s="3">
        <v>450</v>
      </c>
      <c r="N343" s="3">
        <v>26</v>
      </c>
      <c r="O343" s="5">
        <f t="shared" si="32"/>
        <v>0.94222222222222218</v>
      </c>
      <c r="P343" s="5">
        <f t="shared" si="33"/>
        <v>0.78919811320754718</v>
      </c>
      <c r="Q343" s="5">
        <f t="shared" si="34"/>
        <v>0.98368298368298368</v>
      </c>
      <c r="R343" s="5">
        <f t="shared" si="35"/>
        <v>0.7314666666666666</v>
      </c>
    </row>
    <row r="344" spans="1:18" x14ac:dyDescent="0.25">
      <c r="A344" s="3">
        <v>340</v>
      </c>
      <c r="B344" s="4">
        <v>46288</v>
      </c>
      <c r="C344" s="3" t="s">
        <v>30</v>
      </c>
      <c r="D344" s="3" t="s">
        <v>19</v>
      </c>
      <c r="E344" s="3" t="s">
        <v>35</v>
      </c>
      <c r="F344" s="3">
        <v>265</v>
      </c>
      <c r="G344" s="3">
        <v>263</v>
      </c>
      <c r="H344" s="3">
        <v>2</v>
      </c>
      <c r="I344" s="5">
        <f t="shared" si="31"/>
        <v>7.5471698113207548E-3</v>
      </c>
      <c r="J344" s="6">
        <f t="shared" si="36"/>
        <v>7547.1698113207549</v>
      </c>
      <c r="K344" s="7">
        <v>1.62</v>
      </c>
      <c r="L344" s="3">
        <v>427</v>
      </c>
      <c r="M344" s="3">
        <v>450</v>
      </c>
      <c r="N344" s="3">
        <v>23</v>
      </c>
      <c r="O344" s="5">
        <f t="shared" si="32"/>
        <v>0.94888888888888889</v>
      </c>
      <c r="P344" s="5">
        <f t="shared" si="33"/>
        <v>1.0053864168618267</v>
      </c>
      <c r="Q344" s="5">
        <f t="shared" si="34"/>
        <v>0.99245283018867925</v>
      </c>
      <c r="R344" s="5">
        <f t="shared" si="35"/>
        <v>0.94680000000000009</v>
      </c>
    </row>
    <row r="345" spans="1:18" x14ac:dyDescent="0.25">
      <c r="A345" s="3">
        <v>341</v>
      </c>
      <c r="B345" s="4">
        <v>46288</v>
      </c>
      <c r="C345" s="3" t="s">
        <v>30</v>
      </c>
      <c r="D345" s="3" t="s">
        <v>21</v>
      </c>
      <c r="E345" s="3" t="s">
        <v>26</v>
      </c>
      <c r="F345" s="3">
        <v>360</v>
      </c>
      <c r="G345" s="3">
        <v>351</v>
      </c>
      <c r="H345" s="3">
        <v>9</v>
      </c>
      <c r="I345" s="5">
        <f t="shared" si="31"/>
        <v>2.5000000000000001E-2</v>
      </c>
      <c r="J345" s="6">
        <f t="shared" si="36"/>
        <v>25000</v>
      </c>
      <c r="K345" s="7">
        <v>1.01</v>
      </c>
      <c r="L345" s="3">
        <v>404</v>
      </c>
      <c r="M345" s="3">
        <v>450</v>
      </c>
      <c r="N345" s="3">
        <v>46</v>
      </c>
      <c r="O345" s="5">
        <f t="shared" si="32"/>
        <v>0.89777777777777779</v>
      </c>
      <c r="P345" s="5">
        <f t="shared" si="33"/>
        <v>0.9</v>
      </c>
      <c r="Q345" s="5">
        <f t="shared" si="34"/>
        <v>0.97499999999999998</v>
      </c>
      <c r="R345" s="5">
        <f t="shared" si="35"/>
        <v>0.78780000000000006</v>
      </c>
    </row>
    <row r="346" spans="1:18" x14ac:dyDescent="0.25">
      <c r="A346" s="3">
        <v>342</v>
      </c>
      <c r="B346" s="4">
        <v>46288</v>
      </c>
      <c r="C346" s="3" t="s">
        <v>30</v>
      </c>
      <c r="D346" s="3" t="s">
        <v>23</v>
      </c>
      <c r="E346" s="3" t="s">
        <v>31</v>
      </c>
      <c r="F346" s="3">
        <v>1100</v>
      </c>
      <c r="G346" s="3">
        <v>1052</v>
      </c>
      <c r="H346" s="3">
        <v>48</v>
      </c>
      <c r="I346" s="5">
        <f t="shared" si="31"/>
        <v>4.363636363636364E-2</v>
      </c>
      <c r="J346" s="6">
        <f t="shared" si="36"/>
        <v>43636.36363636364</v>
      </c>
      <c r="K346" s="7">
        <v>0.38</v>
      </c>
      <c r="L346" s="3">
        <v>422</v>
      </c>
      <c r="M346" s="3">
        <v>450</v>
      </c>
      <c r="N346" s="3">
        <v>28</v>
      </c>
      <c r="O346" s="5">
        <f t="shared" si="32"/>
        <v>0.93777777777777782</v>
      </c>
      <c r="P346" s="5">
        <f t="shared" si="33"/>
        <v>0.99052132701421802</v>
      </c>
      <c r="Q346" s="5">
        <f t="shared" si="34"/>
        <v>0.95636363636363642</v>
      </c>
      <c r="R346" s="5">
        <f t="shared" si="35"/>
        <v>0.88835555555555568</v>
      </c>
    </row>
    <row r="347" spans="1:18" x14ac:dyDescent="0.25">
      <c r="A347" s="3">
        <v>343</v>
      </c>
      <c r="B347" s="4">
        <v>46288</v>
      </c>
      <c r="C347" s="3" t="s">
        <v>33</v>
      </c>
      <c r="D347" s="3" t="s">
        <v>19</v>
      </c>
      <c r="E347" s="3" t="s">
        <v>35</v>
      </c>
      <c r="F347" s="3">
        <v>274</v>
      </c>
      <c r="G347" s="3">
        <v>269</v>
      </c>
      <c r="H347" s="3">
        <v>5</v>
      </c>
      <c r="I347" s="5">
        <f t="shared" si="31"/>
        <v>1.824817518248175E-2</v>
      </c>
      <c r="J347" s="6">
        <f t="shared" si="36"/>
        <v>18248.175182481751</v>
      </c>
      <c r="K347" s="7">
        <v>1.3</v>
      </c>
      <c r="L347" s="3">
        <v>391</v>
      </c>
      <c r="M347" s="3">
        <v>450</v>
      </c>
      <c r="N347" s="3">
        <v>59</v>
      </c>
      <c r="O347" s="5">
        <f t="shared" si="32"/>
        <v>0.86888888888888893</v>
      </c>
      <c r="P347" s="5">
        <f t="shared" si="33"/>
        <v>0.91099744245524295</v>
      </c>
      <c r="Q347" s="5">
        <f t="shared" si="34"/>
        <v>0.98175182481751821</v>
      </c>
      <c r="R347" s="5">
        <f t="shared" si="35"/>
        <v>0.77711111111111109</v>
      </c>
    </row>
    <row r="348" spans="1:18" x14ac:dyDescent="0.25">
      <c r="A348" s="3">
        <v>344</v>
      </c>
      <c r="B348" s="4">
        <v>46288</v>
      </c>
      <c r="C348" s="3" t="s">
        <v>33</v>
      </c>
      <c r="D348" s="3" t="s">
        <v>21</v>
      </c>
      <c r="E348" s="3" t="s">
        <v>22</v>
      </c>
      <c r="F348" s="3">
        <v>657</v>
      </c>
      <c r="G348" s="3">
        <v>654</v>
      </c>
      <c r="H348" s="3">
        <v>3</v>
      </c>
      <c r="I348" s="5">
        <f t="shared" si="31"/>
        <v>4.5662100456621002E-3</v>
      </c>
      <c r="J348" s="6">
        <f t="shared" si="36"/>
        <v>4566.2100456621001</v>
      </c>
      <c r="K348" s="7">
        <v>0.56999999999999995</v>
      </c>
      <c r="L348" s="3">
        <v>405</v>
      </c>
      <c r="M348" s="3">
        <v>450</v>
      </c>
      <c r="N348" s="3">
        <v>45</v>
      </c>
      <c r="O348" s="5">
        <f t="shared" si="32"/>
        <v>0.9</v>
      </c>
      <c r="P348" s="5">
        <f t="shared" si="33"/>
        <v>0.92466666666666653</v>
      </c>
      <c r="Q348" s="5">
        <f t="shared" si="34"/>
        <v>0.99543378995433784</v>
      </c>
      <c r="R348" s="5">
        <f t="shared" si="35"/>
        <v>0.82839999999999991</v>
      </c>
    </row>
    <row r="349" spans="1:18" x14ac:dyDescent="0.25">
      <c r="A349" s="3">
        <v>345</v>
      </c>
      <c r="B349" s="4">
        <v>46288</v>
      </c>
      <c r="C349" s="3" t="s">
        <v>33</v>
      </c>
      <c r="D349" s="3" t="s">
        <v>23</v>
      </c>
      <c r="E349" s="3" t="s">
        <v>27</v>
      </c>
      <c r="F349" s="3">
        <v>228</v>
      </c>
      <c r="G349" s="3">
        <v>224</v>
      </c>
      <c r="H349" s="3">
        <v>4</v>
      </c>
      <c r="I349" s="5">
        <f t="shared" si="31"/>
        <v>1.7543859649122806E-2</v>
      </c>
      <c r="J349" s="6">
        <f t="shared" si="36"/>
        <v>17543.859649122805</v>
      </c>
      <c r="K349" s="7">
        <v>1.55</v>
      </c>
      <c r="L349" s="3">
        <v>401</v>
      </c>
      <c r="M349" s="3">
        <v>450</v>
      </c>
      <c r="N349" s="3">
        <v>49</v>
      </c>
      <c r="O349" s="5">
        <f t="shared" si="32"/>
        <v>0.89111111111111108</v>
      </c>
      <c r="P349" s="5">
        <f t="shared" si="33"/>
        <v>0.88129675810473829</v>
      </c>
      <c r="Q349" s="5">
        <f t="shared" si="34"/>
        <v>0.98245614035087714</v>
      </c>
      <c r="R349" s="5">
        <f t="shared" si="35"/>
        <v>0.77155555555555566</v>
      </c>
    </row>
    <row r="350" spans="1:18" x14ac:dyDescent="0.25">
      <c r="A350" s="3">
        <v>346</v>
      </c>
      <c r="B350" s="4">
        <v>46289</v>
      </c>
      <c r="C350" s="3" t="s">
        <v>18</v>
      </c>
      <c r="D350" s="3" t="s">
        <v>19</v>
      </c>
      <c r="E350" s="3" t="s">
        <v>24</v>
      </c>
      <c r="F350" s="3">
        <v>196</v>
      </c>
      <c r="G350" s="3">
        <v>194</v>
      </c>
      <c r="H350" s="3">
        <v>2</v>
      </c>
      <c r="I350" s="5">
        <f t="shared" si="31"/>
        <v>1.020408163265306E-2</v>
      </c>
      <c r="J350" s="6">
        <f t="shared" si="36"/>
        <v>10204.08163265306</v>
      </c>
      <c r="K350" s="7">
        <v>1.76</v>
      </c>
      <c r="L350" s="3">
        <v>420</v>
      </c>
      <c r="M350" s="3">
        <v>450</v>
      </c>
      <c r="N350" s="3">
        <v>30</v>
      </c>
      <c r="O350" s="5">
        <f t="shared" si="32"/>
        <v>0.93333333333333335</v>
      </c>
      <c r="P350" s="5">
        <f t="shared" si="33"/>
        <v>0.82133333333333325</v>
      </c>
      <c r="Q350" s="5">
        <f t="shared" si="34"/>
        <v>0.98979591836734693</v>
      </c>
      <c r="R350" s="5">
        <f t="shared" si="35"/>
        <v>0.75875555555555552</v>
      </c>
    </row>
    <row r="351" spans="1:18" x14ac:dyDescent="0.25">
      <c r="A351" s="3">
        <v>347</v>
      </c>
      <c r="B351" s="4">
        <v>46289</v>
      </c>
      <c r="C351" s="3" t="s">
        <v>18</v>
      </c>
      <c r="D351" s="3" t="s">
        <v>21</v>
      </c>
      <c r="E351" s="3" t="s">
        <v>22</v>
      </c>
      <c r="F351" s="3">
        <v>737</v>
      </c>
      <c r="G351" s="3">
        <v>728</v>
      </c>
      <c r="H351" s="3">
        <v>9</v>
      </c>
      <c r="I351" s="5">
        <f t="shared" si="31"/>
        <v>1.2211668928086838E-2</v>
      </c>
      <c r="J351" s="6">
        <f t="shared" si="36"/>
        <v>12211.668928086838</v>
      </c>
      <c r="K351" s="7">
        <v>0.59</v>
      </c>
      <c r="L351" s="3">
        <v>423</v>
      </c>
      <c r="M351" s="3">
        <v>450</v>
      </c>
      <c r="N351" s="3">
        <v>27</v>
      </c>
      <c r="O351" s="5">
        <f t="shared" si="32"/>
        <v>0.94</v>
      </c>
      <c r="P351" s="5">
        <f t="shared" si="33"/>
        <v>1.0279669030732861</v>
      </c>
      <c r="Q351" s="5">
        <f t="shared" si="34"/>
        <v>0.98778833107191311</v>
      </c>
      <c r="R351" s="5">
        <f t="shared" si="35"/>
        <v>0.95448888888888883</v>
      </c>
    </row>
    <row r="352" spans="1:18" x14ac:dyDescent="0.25">
      <c r="A352" s="3">
        <v>348</v>
      </c>
      <c r="B352" s="4">
        <v>46289</v>
      </c>
      <c r="C352" s="3" t="s">
        <v>18</v>
      </c>
      <c r="D352" s="3" t="s">
        <v>23</v>
      </c>
      <c r="E352" s="3" t="s">
        <v>27</v>
      </c>
      <c r="F352" s="3">
        <v>207</v>
      </c>
      <c r="G352" s="3">
        <v>201</v>
      </c>
      <c r="H352" s="3">
        <v>6</v>
      </c>
      <c r="I352" s="5">
        <f t="shared" si="31"/>
        <v>2.8985507246376812E-2</v>
      </c>
      <c r="J352" s="6">
        <f t="shared" si="36"/>
        <v>28985.507246376812</v>
      </c>
      <c r="K352" s="7">
        <v>1.66</v>
      </c>
      <c r="L352" s="3">
        <v>405</v>
      </c>
      <c r="M352" s="3">
        <v>450</v>
      </c>
      <c r="N352" s="3">
        <v>45</v>
      </c>
      <c r="O352" s="5">
        <f t="shared" si="32"/>
        <v>0.9</v>
      </c>
      <c r="P352" s="5">
        <f t="shared" si="33"/>
        <v>0.84844444444444445</v>
      </c>
      <c r="Q352" s="5">
        <f t="shared" si="34"/>
        <v>0.97101449275362317</v>
      </c>
      <c r="R352" s="5">
        <f t="shared" si="35"/>
        <v>0.74146666666666672</v>
      </c>
    </row>
    <row r="353" spans="1:18" x14ac:dyDescent="0.25">
      <c r="A353" s="3">
        <v>349</v>
      </c>
      <c r="B353" s="4">
        <v>46289</v>
      </c>
      <c r="C353" s="3" t="s">
        <v>25</v>
      </c>
      <c r="D353" s="3" t="s">
        <v>19</v>
      </c>
      <c r="E353" s="3" t="s">
        <v>32</v>
      </c>
      <c r="F353" s="3">
        <v>893</v>
      </c>
      <c r="G353" s="3">
        <v>870</v>
      </c>
      <c r="H353" s="3">
        <v>23</v>
      </c>
      <c r="I353" s="5">
        <f t="shared" si="31"/>
        <v>2.5755879059350503E-2</v>
      </c>
      <c r="J353" s="6">
        <f t="shared" si="36"/>
        <v>25755.879059350504</v>
      </c>
      <c r="K353" s="7">
        <v>0.41</v>
      </c>
      <c r="L353" s="3">
        <v>388</v>
      </c>
      <c r="M353" s="3">
        <v>450</v>
      </c>
      <c r="N353" s="3">
        <v>62</v>
      </c>
      <c r="O353" s="5">
        <f t="shared" si="32"/>
        <v>0.86222222222222222</v>
      </c>
      <c r="P353" s="5">
        <f t="shared" si="33"/>
        <v>0.94363402061855672</v>
      </c>
      <c r="Q353" s="5">
        <f t="shared" si="34"/>
        <v>0.97424412094064949</v>
      </c>
      <c r="R353" s="5">
        <f t="shared" si="35"/>
        <v>0.79266666666666674</v>
      </c>
    </row>
    <row r="354" spans="1:18" x14ac:dyDescent="0.25">
      <c r="A354" s="3">
        <v>350</v>
      </c>
      <c r="B354" s="4">
        <v>46289</v>
      </c>
      <c r="C354" s="3" t="s">
        <v>25</v>
      </c>
      <c r="D354" s="3" t="s">
        <v>21</v>
      </c>
      <c r="E354" s="3" t="s">
        <v>29</v>
      </c>
      <c r="F354" s="3">
        <v>593</v>
      </c>
      <c r="G354" s="3">
        <v>567</v>
      </c>
      <c r="H354" s="3">
        <v>26</v>
      </c>
      <c r="I354" s="5">
        <f t="shared" si="31"/>
        <v>4.3844856661045532E-2</v>
      </c>
      <c r="J354" s="6">
        <f t="shared" si="36"/>
        <v>43844.856661045531</v>
      </c>
      <c r="K354" s="7">
        <v>0.69</v>
      </c>
      <c r="L354" s="3">
        <v>415</v>
      </c>
      <c r="M354" s="3">
        <v>450</v>
      </c>
      <c r="N354" s="3">
        <v>35</v>
      </c>
      <c r="O354" s="5">
        <f t="shared" si="32"/>
        <v>0.92222222222222228</v>
      </c>
      <c r="P354" s="5">
        <f t="shared" si="33"/>
        <v>0.98595180722891551</v>
      </c>
      <c r="Q354" s="5">
        <f t="shared" si="34"/>
        <v>0.95615514333895446</v>
      </c>
      <c r="R354" s="5">
        <f t="shared" si="35"/>
        <v>0.86939999999999984</v>
      </c>
    </row>
    <row r="355" spans="1:18" x14ac:dyDescent="0.25">
      <c r="A355" s="3">
        <v>351</v>
      </c>
      <c r="B355" s="4">
        <v>46289</v>
      </c>
      <c r="C355" s="3" t="s">
        <v>25</v>
      </c>
      <c r="D355" s="3" t="s">
        <v>23</v>
      </c>
      <c r="E355" s="3" t="s">
        <v>20</v>
      </c>
      <c r="F355" s="3">
        <v>375</v>
      </c>
      <c r="G355" s="3">
        <v>370</v>
      </c>
      <c r="H355" s="3">
        <v>5</v>
      </c>
      <c r="I355" s="5">
        <f t="shared" si="31"/>
        <v>1.3333333333333334E-2</v>
      </c>
      <c r="J355" s="6">
        <f t="shared" si="36"/>
        <v>13333.333333333334</v>
      </c>
      <c r="K355" s="7">
        <v>1.02</v>
      </c>
      <c r="L355" s="3">
        <v>392</v>
      </c>
      <c r="M355" s="3">
        <v>450</v>
      </c>
      <c r="N355" s="3">
        <v>58</v>
      </c>
      <c r="O355" s="5">
        <f t="shared" si="32"/>
        <v>0.87111111111111106</v>
      </c>
      <c r="P355" s="5">
        <f t="shared" si="33"/>
        <v>0.97576530612244894</v>
      </c>
      <c r="Q355" s="5">
        <f t="shared" si="34"/>
        <v>0.98666666666666669</v>
      </c>
      <c r="R355" s="5">
        <f t="shared" si="35"/>
        <v>0.83866666666666656</v>
      </c>
    </row>
    <row r="356" spans="1:18" x14ac:dyDescent="0.25">
      <c r="A356" s="3">
        <v>352</v>
      </c>
      <c r="B356" s="4">
        <v>46289</v>
      </c>
      <c r="C356" s="3" t="s">
        <v>28</v>
      </c>
      <c r="D356" s="3" t="s">
        <v>19</v>
      </c>
      <c r="E356" s="3" t="s">
        <v>20</v>
      </c>
      <c r="F356" s="3">
        <v>216</v>
      </c>
      <c r="G356" s="3">
        <v>208</v>
      </c>
      <c r="H356" s="3">
        <v>8</v>
      </c>
      <c r="I356" s="5">
        <f t="shared" si="31"/>
        <v>3.7037037037037035E-2</v>
      </c>
      <c r="J356" s="6">
        <f t="shared" si="36"/>
        <v>37037.037037037036</v>
      </c>
      <c r="K356" s="7">
        <v>1.6</v>
      </c>
      <c r="L356" s="3">
        <v>407</v>
      </c>
      <c r="M356" s="3">
        <v>450</v>
      </c>
      <c r="N356" s="3">
        <v>43</v>
      </c>
      <c r="O356" s="5">
        <f t="shared" si="32"/>
        <v>0.9044444444444445</v>
      </c>
      <c r="P356" s="5">
        <f t="shared" si="33"/>
        <v>0.84914004914004915</v>
      </c>
      <c r="Q356" s="5">
        <f t="shared" si="34"/>
        <v>0.96296296296296291</v>
      </c>
      <c r="R356" s="5">
        <f t="shared" si="35"/>
        <v>0.73955555555555552</v>
      </c>
    </row>
    <row r="357" spans="1:18" x14ac:dyDescent="0.25">
      <c r="A357" s="3">
        <v>353</v>
      </c>
      <c r="B357" s="4">
        <v>46289</v>
      </c>
      <c r="C357" s="3" t="s">
        <v>28</v>
      </c>
      <c r="D357" s="3" t="s">
        <v>21</v>
      </c>
      <c r="E357" s="3" t="s">
        <v>34</v>
      </c>
      <c r="F357" s="3">
        <v>714</v>
      </c>
      <c r="G357" s="3">
        <v>696</v>
      </c>
      <c r="H357" s="3">
        <v>18</v>
      </c>
      <c r="I357" s="5">
        <f t="shared" si="31"/>
        <v>2.5210084033613446E-2</v>
      </c>
      <c r="J357" s="6">
        <f t="shared" si="36"/>
        <v>25210.084033613446</v>
      </c>
      <c r="K357" s="7">
        <v>0.51</v>
      </c>
      <c r="L357" s="3">
        <v>399</v>
      </c>
      <c r="M357" s="3">
        <v>450</v>
      </c>
      <c r="N357" s="3">
        <v>51</v>
      </c>
      <c r="O357" s="5">
        <f t="shared" si="32"/>
        <v>0.88666666666666671</v>
      </c>
      <c r="P357" s="5">
        <f t="shared" si="33"/>
        <v>0.91263157894736835</v>
      </c>
      <c r="Q357" s="5">
        <f t="shared" si="34"/>
        <v>0.97478991596638653</v>
      </c>
      <c r="R357" s="5">
        <f t="shared" si="35"/>
        <v>0.78880000000000006</v>
      </c>
    </row>
    <row r="358" spans="1:18" x14ac:dyDescent="0.25">
      <c r="A358" s="3">
        <v>354</v>
      </c>
      <c r="B358" s="4">
        <v>46289</v>
      </c>
      <c r="C358" s="3" t="s">
        <v>28</v>
      </c>
      <c r="D358" s="3" t="s">
        <v>23</v>
      </c>
      <c r="E358" s="3" t="s">
        <v>34</v>
      </c>
      <c r="F358" s="3">
        <v>278</v>
      </c>
      <c r="G358" s="3">
        <v>276</v>
      </c>
      <c r="H358" s="3">
        <v>2</v>
      </c>
      <c r="I358" s="5">
        <f t="shared" si="31"/>
        <v>7.1942446043165471E-3</v>
      </c>
      <c r="J358" s="6">
        <f t="shared" si="36"/>
        <v>7194.2446043165473</v>
      </c>
      <c r="K358" s="7">
        <v>1.58</v>
      </c>
      <c r="L358" s="3">
        <v>428</v>
      </c>
      <c r="M358" s="3">
        <v>450</v>
      </c>
      <c r="N358" s="3">
        <v>22</v>
      </c>
      <c r="O358" s="5">
        <f t="shared" si="32"/>
        <v>0.95111111111111113</v>
      </c>
      <c r="P358" s="5">
        <f t="shared" si="33"/>
        <v>1.0262616822429906</v>
      </c>
      <c r="Q358" s="5">
        <f t="shared" si="34"/>
        <v>0.9928057553956835</v>
      </c>
      <c r="R358" s="5">
        <f t="shared" si="35"/>
        <v>0.96906666666666674</v>
      </c>
    </row>
    <row r="359" spans="1:18" x14ac:dyDescent="0.25">
      <c r="A359" s="3">
        <v>355</v>
      </c>
      <c r="B359" s="4">
        <v>46289</v>
      </c>
      <c r="C359" s="3" t="s">
        <v>30</v>
      </c>
      <c r="D359" s="3" t="s">
        <v>19</v>
      </c>
      <c r="E359" s="3" t="s">
        <v>35</v>
      </c>
      <c r="F359" s="3">
        <v>541</v>
      </c>
      <c r="G359" s="3">
        <v>528</v>
      </c>
      <c r="H359" s="3">
        <v>13</v>
      </c>
      <c r="I359" s="5">
        <f t="shared" si="31"/>
        <v>2.4029574861367836E-2</v>
      </c>
      <c r="J359" s="6">
        <f t="shared" si="36"/>
        <v>24029.574861367837</v>
      </c>
      <c r="K359" s="7">
        <v>0.74</v>
      </c>
      <c r="L359" s="3">
        <v>445</v>
      </c>
      <c r="M359" s="3">
        <v>450</v>
      </c>
      <c r="N359" s="3">
        <v>5</v>
      </c>
      <c r="O359" s="5">
        <f t="shared" si="32"/>
        <v>0.98888888888888893</v>
      </c>
      <c r="P359" s="5">
        <f t="shared" si="33"/>
        <v>0.89964044943820221</v>
      </c>
      <c r="Q359" s="5">
        <f t="shared" si="34"/>
        <v>0.97597042513863219</v>
      </c>
      <c r="R359" s="5">
        <f t="shared" si="35"/>
        <v>0.86826666666666674</v>
      </c>
    </row>
    <row r="360" spans="1:18" x14ac:dyDescent="0.25">
      <c r="A360" s="3">
        <v>356</v>
      </c>
      <c r="B360" s="4">
        <v>46289</v>
      </c>
      <c r="C360" s="3" t="s">
        <v>30</v>
      </c>
      <c r="D360" s="3" t="s">
        <v>21</v>
      </c>
      <c r="E360" s="3" t="s">
        <v>29</v>
      </c>
      <c r="F360" s="3">
        <v>259</v>
      </c>
      <c r="G360" s="3">
        <v>258</v>
      </c>
      <c r="H360" s="3">
        <v>1</v>
      </c>
      <c r="I360" s="5">
        <f t="shared" si="31"/>
        <v>3.8610038610038611E-3</v>
      </c>
      <c r="J360" s="6">
        <f t="shared" si="36"/>
        <v>3861.0038610038609</v>
      </c>
      <c r="K360" s="7">
        <v>1.59</v>
      </c>
      <c r="L360" s="3">
        <v>424</v>
      </c>
      <c r="M360" s="3">
        <v>450</v>
      </c>
      <c r="N360" s="3">
        <v>26</v>
      </c>
      <c r="O360" s="5">
        <f t="shared" si="32"/>
        <v>0.94222222222222218</v>
      </c>
      <c r="P360" s="5">
        <f t="shared" si="33"/>
        <v>0.97125000000000006</v>
      </c>
      <c r="Q360" s="5">
        <f t="shared" si="34"/>
        <v>0.99613899613899615</v>
      </c>
      <c r="R360" s="5">
        <f t="shared" si="35"/>
        <v>0.91160000000000008</v>
      </c>
    </row>
    <row r="361" spans="1:18" x14ac:dyDescent="0.25">
      <c r="A361" s="3">
        <v>357</v>
      </c>
      <c r="B361" s="4">
        <v>46289</v>
      </c>
      <c r="C361" s="3" t="s">
        <v>30</v>
      </c>
      <c r="D361" s="3" t="s">
        <v>23</v>
      </c>
      <c r="E361" s="3" t="s">
        <v>31</v>
      </c>
      <c r="F361" s="3">
        <v>352</v>
      </c>
      <c r="G361" s="3">
        <v>349</v>
      </c>
      <c r="H361" s="3">
        <v>3</v>
      </c>
      <c r="I361" s="5">
        <f t="shared" si="31"/>
        <v>8.5227272727272721E-3</v>
      </c>
      <c r="J361" s="6">
        <f t="shared" si="36"/>
        <v>8522.7272727272721</v>
      </c>
      <c r="K361" s="7">
        <v>1.01</v>
      </c>
      <c r="L361" s="3">
        <v>398</v>
      </c>
      <c r="M361" s="3">
        <v>450</v>
      </c>
      <c r="N361" s="3">
        <v>52</v>
      </c>
      <c r="O361" s="5">
        <f t="shared" si="32"/>
        <v>0.88444444444444448</v>
      </c>
      <c r="P361" s="5">
        <f t="shared" si="33"/>
        <v>0.89326633165829139</v>
      </c>
      <c r="Q361" s="5">
        <f t="shared" si="34"/>
        <v>0.99147727272727271</v>
      </c>
      <c r="R361" s="5">
        <f t="shared" si="35"/>
        <v>0.78331111111111107</v>
      </c>
    </row>
    <row r="362" spans="1:18" x14ac:dyDescent="0.25">
      <c r="A362" s="3">
        <v>358</v>
      </c>
      <c r="B362" s="4">
        <v>46289</v>
      </c>
      <c r="C362" s="3" t="s">
        <v>33</v>
      </c>
      <c r="D362" s="3" t="s">
        <v>19</v>
      </c>
      <c r="E362" s="3" t="s">
        <v>20</v>
      </c>
      <c r="F362" s="3">
        <v>387</v>
      </c>
      <c r="G362" s="3">
        <v>383</v>
      </c>
      <c r="H362" s="3">
        <v>4</v>
      </c>
      <c r="I362" s="5">
        <f t="shared" si="31"/>
        <v>1.0335917312661499E-2</v>
      </c>
      <c r="J362" s="6">
        <f t="shared" si="36"/>
        <v>10335.917312661499</v>
      </c>
      <c r="K362" s="7">
        <v>0.93</v>
      </c>
      <c r="L362" s="3">
        <v>408</v>
      </c>
      <c r="M362" s="3">
        <v>450</v>
      </c>
      <c r="N362" s="3">
        <v>42</v>
      </c>
      <c r="O362" s="5">
        <f t="shared" si="32"/>
        <v>0.90666666666666662</v>
      </c>
      <c r="P362" s="5">
        <f t="shared" si="33"/>
        <v>0.88213235294117653</v>
      </c>
      <c r="Q362" s="5">
        <f t="shared" si="34"/>
        <v>0.98966408268733852</v>
      </c>
      <c r="R362" s="5">
        <f t="shared" si="35"/>
        <v>0.79153333333333342</v>
      </c>
    </row>
    <row r="363" spans="1:18" x14ac:dyDescent="0.25">
      <c r="A363" s="3">
        <v>359</v>
      </c>
      <c r="B363" s="4">
        <v>46289</v>
      </c>
      <c r="C363" s="3" t="s">
        <v>33</v>
      </c>
      <c r="D363" s="3" t="s">
        <v>21</v>
      </c>
      <c r="E363" s="3" t="s">
        <v>34</v>
      </c>
      <c r="F363" s="3">
        <v>280</v>
      </c>
      <c r="G363" s="3">
        <v>273</v>
      </c>
      <c r="H363" s="3">
        <v>7</v>
      </c>
      <c r="I363" s="5">
        <f t="shared" si="31"/>
        <v>2.5000000000000001E-2</v>
      </c>
      <c r="J363" s="6">
        <f t="shared" si="36"/>
        <v>25000</v>
      </c>
      <c r="K363" s="7">
        <v>1.45</v>
      </c>
      <c r="L363" s="3">
        <v>438</v>
      </c>
      <c r="M363" s="3">
        <v>450</v>
      </c>
      <c r="N363" s="3">
        <v>12</v>
      </c>
      <c r="O363" s="5">
        <f t="shared" si="32"/>
        <v>0.97333333333333338</v>
      </c>
      <c r="P363" s="5">
        <f t="shared" si="33"/>
        <v>0.9269406392694064</v>
      </c>
      <c r="Q363" s="5">
        <f t="shared" si="34"/>
        <v>0.97499999999999998</v>
      </c>
      <c r="R363" s="5">
        <f t="shared" si="35"/>
        <v>0.87966666666666671</v>
      </c>
    </row>
    <row r="364" spans="1:18" x14ac:dyDescent="0.25">
      <c r="A364" s="3">
        <v>360</v>
      </c>
      <c r="B364" s="4">
        <v>46289</v>
      </c>
      <c r="C364" s="3" t="s">
        <v>33</v>
      </c>
      <c r="D364" s="3" t="s">
        <v>23</v>
      </c>
      <c r="E364" s="3" t="s">
        <v>29</v>
      </c>
      <c r="F364" s="3">
        <v>213</v>
      </c>
      <c r="G364" s="3">
        <v>211</v>
      </c>
      <c r="H364" s="3">
        <v>2</v>
      </c>
      <c r="I364" s="5">
        <f t="shared" si="31"/>
        <v>9.3896713615023476E-3</v>
      </c>
      <c r="J364" s="6">
        <f t="shared" si="36"/>
        <v>9389.6713615023473</v>
      </c>
      <c r="K364" s="7">
        <v>1.62</v>
      </c>
      <c r="L364" s="3">
        <v>426</v>
      </c>
      <c r="M364" s="3">
        <v>450</v>
      </c>
      <c r="N364" s="3">
        <v>24</v>
      </c>
      <c r="O364" s="5">
        <f t="shared" si="32"/>
        <v>0.94666666666666666</v>
      </c>
      <c r="P364" s="5">
        <f t="shared" si="33"/>
        <v>0.81</v>
      </c>
      <c r="Q364" s="5">
        <f t="shared" si="34"/>
        <v>0.99061032863849763</v>
      </c>
      <c r="R364" s="5">
        <f t="shared" si="35"/>
        <v>0.75960000000000005</v>
      </c>
    </row>
    <row r="365" spans="1:18" x14ac:dyDescent="0.25">
      <c r="A365" s="3">
        <v>361</v>
      </c>
      <c r="B365" s="4">
        <v>46290</v>
      </c>
      <c r="C365" s="3" t="s">
        <v>18</v>
      </c>
      <c r="D365" s="3" t="s">
        <v>19</v>
      </c>
      <c r="E365" s="3" t="s">
        <v>26</v>
      </c>
      <c r="F365" s="3">
        <v>439</v>
      </c>
      <c r="G365" s="3">
        <v>424</v>
      </c>
      <c r="H365" s="3">
        <v>15</v>
      </c>
      <c r="I365" s="5">
        <f t="shared" si="31"/>
        <v>3.4168564920273349E-2</v>
      </c>
      <c r="J365" s="6">
        <f t="shared" si="36"/>
        <v>34168.564920273348</v>
      </c>
      <c r="K365" s="7">
        <v>0.79</v>
      </c>
      <c r="L365" s="3">
        <v>406</v>
      </c>
      <c r="M365" s="3">
        <v>450</v>
      </c>
      <c r="N365" s="3">
        <v>44</v>
      </c>
      <c r="O365" s="5">
        <f t="shared" si="32"/>
        <v>0.90222222222222226</v>
      </c>
      <c r="P365" s="5">
        <f t="shared" si="33"/>
        <v>0.85421182266009854</v>
      </c>
      <c r="Q365" s="5">
        <f t="shared" si="34"/>
        <v>0.96583143507972669</v>
      </c>
      <c r="R365" s="5">
        <f t="shared" si="35"/>
        <v>0.74435555555555566</v>
      </c>
    </row>
    <row r="366" spans="1:18" x14ac:dyDescent="0.25">
      <c r="A366" s="3">
        <v>362</v>
      </c>
      <c r="B366" s="4">
        <v>46290</v>
      </c>
      <c r="C366" s="3" t="s">
        <v>18</v>
      </c>
      <c r="D366" s="3" t="s">
        <v>21</v>
      </c>
      <c r="E366" s="3" t="s">
        <v>31</v>
      </c>
      <c r="F366" s="3">
        <v>472</v>
      </c>
      <c r="G366" s="3">
        <v>462</v>
      </c>
      <c r="H366" s="3">
        <v>10</v>
      </c>
      <c r="I366" s="5">
        <f t="shared" si="31"/>
        <v>2.1186440677966101E-2</v>
      </c>
      <c r="J366" s="6">
        <f t="shared" si="36"/>
        <v>21186.4406779661</v>
      </c>
      <c r="K366" s="7">
        <v>0.71</v>
      </c>
      <c r="L366" s="3">
        <v>419</v>
      </c>
      <c r="M366" s="3">
        <v>450</v>
      </c>
      <c r="N366" s="3">
        <v>31</v>
      </c>
      <c r="O366" s="5">
        <f t="shared" si="32"/>
        <v>0.93111111111111111</v>
      </c>
      <c r="P366" s="5">
        <f t="shared" si="33"/>
        <v>0.79980906921241046</v>
      </c>
      <c r="Q366" s="5">
        <f t="shared" si="34"/>
        <v>0.97881355932203384</v>
      </c>
      <c r="R366" s="5">
        <f t="shared" si="35"/>
        <v>0.72893333333333332</v>
      </c>
    </row>
    <row r="367" spans="1:18" x14ac:dyDescent="0.25">
      <c r="A367" s="3">
        <v>363</v>
      </c>
      <c r="B367" s="4">
        <v>46290</v>
      </c>
      <c r="C367" s="3" t="s">
        <v>18</v>
      </c>
      <c r="D367" s="3" t="s">
        <v>23</v>
      </c>
      <c r="E367" s="3" t="s">
        <v>22</v>
      </c>
      <c r="F367" s="3">
        <v>254</v>
      </c>
      <c r="G367" s="3">
        <v>247</v>
      </c>
      <c r="H367" s="3">
        <v>7</v>
      </c>
      <c r="I367" s="5">
        <f t="shared" si="31"/>
        <v>2.7559055118110236E-2</v>
      </c>
      <c r="J367" s="6">
        <f t="shared" si="36"/>
        <v>27559.055118110235</v>
      </c>
      <c r="K367" s="7">
        <v>1.47</v>
      </c>
      <c r="L367" s="3">
        <v>389</v>
      </c>
      <c r="M367" s="3">
        <v>450</v>
      </c>
      <c r="N367" s="3">
        <v>61</v>
      </c>
      <c r="O367" s="5">
        <f t="shared" si="32"/>
        <v>0.86444444444444446</v>
      </c>
      <c r="P367" s="5">
        <f t="shared" si="33"/>
        <v>0.95984575835475572</v>
      </c>
      <c r="Q367" s="5">
        <f t="shared" si="34"/>
        <v>0.97244094488188981</v>
      </c>
      <c r="R367" s="5">
        <f t="shared" si="35"/>
        <v>0.80686666666666673</v>
      </c>
    </row>
    <row r="368" spans="1:18" x14ac:dyDescent="0.25">
      <c r="A368" s="3">
        <v>364</v>
      </c>
      <c r="B368" s="4">
        <v>46290</v>
      </c>
      <c r="C368" s="3" t="s">
        <v>25</v>
      </c>
      <c r="D368" s="3" t="s">
        <v>19</v>
      </c>
      <c r="E368" s="3" t="s">
        <v>29</v>
      </c>
      <c r="F368" s="3">
        <v>267</v>
      </c>
      <c r="G368" s="3">
        <v>264</v>
      </c>
      <c r="H368" s="3">
        <v>3</v>
      </c>
      <c r="I368" s="5">
        <f t="shared" si="31"/>
        <v>1.1235955056179775E-2</v>
      </c>
      <c r="J368" s="6">
        <f t="shared" si="36"/>
        <v>11235.955056179775</v>
      </c>
      <c r="K368" s="7">
        <v>1.4</v>
      </c>
      <c r="L368" s="3">
        <v>394</v>
      </c>
      <c r="M368" s="3">
        <v>450</v>
      </c>
      <c r="N368" s="3">
        <v>56</v>
      </c>
      <c r="O368" s="5">
        <f t="shared" si="32"/>
        <v>0.87555555555555553</v>
      </c>
      <c r="P368" s="5">
        <f t="shared" si="33"/>
        <v>0.948730964467005</v>
      </c>
      <c r="Q368" s="5">
        <f t="shared" si="34"/>
        <v>0.9887640449438202</v>
      </c>
      <c r="R368" s="5">
        <f t="shared" si="35"/>
        <v>0.82133333333333325</v>
      </c>
    </row>
    <row r="369" spans="1:18" x14ac:dyDescent="0.25">
      <c r="A369" s="3">
        <v>365</v>
      </c>
      <c r="B369" s="4">
        <v>46290</v>
      </c>
      <c r="C369" s="3" t="s">
        <v>25</v>
      </c>
      <c r="D369" s="3" t="s">
        <v>21</v>
      </c>
      <c r="E369" s="3" t="s">
        <v>24</v>
      </c>
      <c r="F369" s="3">
        <v>301</v>
      </c>
      <c r="G369" s="3">
        <v>292</v>
      </c>
      <c r="H369" s="3">
        <v>9</v>
      </c>
      <c r="I369" s="5">
        <f t="shared" si="31"/>
        <v>2.9900332225913623E-2</v>
      </c>
      <c r="J369" s="6">
        <f t="shared" si="36"/>
        <v>29900.332225913622</v>
      </c>
      <c r="K369" s="7">
        <v>1.1499999999999999</v>
      </c>
      <c r="L369" s="3">
        <v>404</v>
      </c>
      <c r="M369" s="3">
        <v>450</v>
      </c>
      <c r="N369" s="3">
        <v>46</v>
      </c>
      <c r="O369" s="5">
        <f t="shared" si="32"/>
        <v>0.89777777777777779</v>
      </c>
      <c r="P369" s="5">
        <f t="shared" si="33"/>
        <v>0.85680693069306924</v>
      </c>
      <c r="Q369" s="5">
        <f t="shared" si="34"/>
        <v>0.9700996677740864</v>
      </c>
      <c r="R369" s="5">
        <f t="shared" si="35"/>
        <v>0.74622222222222212</v>
      </c>
    </row>
    <row r="370" spans="1:18" x14ac:dyDescent="0.25">
      <c r="A370" s="3">
        <v>366</v>
      </c>
      <c r="B370" s="4">
        <v>46290</v>
      </c>
      <c r="C370" s="3" t="s">
        <v>25</v>
      </c>
      <c r="D370" s="3" t="s">
        <v>23</v>
      </c>
      <c r="E370" s="3" t="s">
        <v>34</v>
      </c>
      <c r="F370" s="3">
        <v>343</v>
      </c>
      <c r="G370" s="3">
        <v>341</v>
      </c>
      <c r="H370" s="3">
        <v>2</v>
      </c>
      <c r="I370" s="5">
        <f t="shared" si="31"/>
        <v>5.8309037900874635E-3</v>
      </c>
      <c r="J370" s="6">
        <f t="shared" si="36"/>
        <v>5830.9037900874637</v>
      </c>
      <c r="K370" s="7">
        <v>1.05</v>
      </c>
      <c r="L370" s="3">
        <v>398</v>
      </c>
      <c r="M370" s="3">
        <v>450</v>
      </c>
      <c r="N370" s="3">
        <v>52</v>
      </c>
      <c r="O370" s="5">
        <f t="shared" si="32"/>
        <v>0.88444444444444448</v>
      </c>
      <c r="P370" s="5">
        <f t="shared" si="33"/>
        <v>0.90489949748743725</v>
      </c>
      <c r="Q370" s="5">
        <f t="shared" si="34"/>
        <v>0.99416909620991256</v>
      </c>
      <c r="R370" s="5">
        <f t="shared" si="35"/>
        <v>0.79566666666666686</v>
      </c>
    </row>
    <row r="371" spans="1:18" x14ac:dyDescent="0.25">
      <c r="A371" s="3">
        <v>367</v>
      </c>
      <c r="B371" s="4">
        <v>46290</v>
      </c>
      <c r="C371" s="3" t="s">
        <v>28</v>
      </c>
      <c r="D371" s="3" t="s">
        <v>19</v>
      </c>
      <c r="E371" s="3" t="s">
        <v>22</v>
      </c>
      <c r="F371" s="3">
        <v>259</v>
      </c>
      <c r="G371" s="3">
        <v>254</v>
      </c>
      <c r="H371" s="3">
        <v>5</v>
      </c>
      <c r="I371" s="5">
        <f t="shared" si="31"/>
        <v>1.9305019305019305E-2</v>
      </c>
      <c r="J371" s="6">
        <f t="shared" si="36"/>
        <v>19305.019305019305</v>
      </c>
      <c r="K371" s="7">
        <v>1.32</v>
      </c>
      <c r="L371" s="3">
        <v>420</v>
      </c>
      <c r="M371" s="3">
        <v>450</v>
      </c>
      <c r="N371" s="3">
        <v>30</v>
      </c>
      <c r="O371" s="5">
        <f t="shared" si="32"/>
        <v>0.93333333333333335</v>
      </c>
      <c r="P371" s="5">
        <f t="shared" si="33"/>
        <v>0.81399999999999995</v>
      </c>
      <c r="Q371" s="5">
        <f t="shared" si="34"/>
        <v>0.98069498069498073</v>
      </c>
      <c r="R371" s="5">
        <f t="shared" si="35"/>
        <v>0.74506666666666665</v>
      </c>
    </row>
    <row r="372" spans="1:18" x14ac:dyDescent="0.25">
      <c r="A372" s="3">
        <v>368</v>
      </c>
      <c r="B372" s="4">
        <v>46290</v>
      </c>
      <c r="C372" s="3" t="s">
        <v>28</v>
      </c>
      <c r="D372" s="3" t="s">
        <v>21</v>
      </c>
      <c r="E372" s="3" t="s">
        <v>22</v>
      </c>
      <c r="F372" s="3">
        <v>736</v>
      </c>
      <c r="G372" s="3">
        <v>703</v>
      </c>
      <c r="H372" s="3">
        <v>33</v>
      </c>
      <c r="I372" s="5">
        <f t="shared" si="31"/>
        <v>4.4836956521739128E-2</v>
      </c>
      <c r="J372" s="6">
        <f t="shared" si="36"/>
        <v>44836.956521739128</v>
      </c>
      <c r="K372" s="7">
        <v>0.42</v>
      </c>
      <c r="L372" s="3">
        <v>393</v>
      </c>
      <c r="M372" s="3">
        <v>450</v>
      </c>
      <c r="N372" s="3">
        <v>57</v>
      </c>
      <c r="O372" s="5">
        <f t="shared" si="32"/>
        <v>0.87333333333333329</v>
      </c>
      <c r="P372" s="5">
        <f t="shared" si="33"/>
        <v>0.7865648854961832</v>
      </c>
      <c r="Q372" s="5">
        <f t="shared" si="34"/>
        <v>0.95516304347826086</v>
      </c>
      <c r="R372" s="5">
        <f t="shared" si="35"/>
        <v>0.65613333333333324</v>
      </c>
    </row>
    <row r="373" spans="1:18" x14ac:dyDescent="0.25">
      <c r="A373" s="3">
        <v>369</v>
      </c>
      <c r="B373" s="4">
        <v>46290</v>
      </c>
      <c r="C373" s="3" t="s">
        <v>28</v>
      </c>
      <c r="D373" s="3" t="s">
        <v>23</v>
      </c>
      <c r="E373" s="3" t="s">
        <v>34</v>
      </c>
      <c r="F373" s="3">
        <v>346</v>
      </c>
      <c r="G373" s="3">
        <v>331</v>
      </c>
      <c r="H373" s="3">
        <v>15</v>
      </c>
      <c r="I373" s="5">
        <f t="shared" si="31"/>
        <v>4.3352601156069363E-2</v>
      </c>
      <c r="J373" s="6">
        <f t="shared" si="36"/>
        <v>43352.601156069366</v>
      </c>
      <c r="K373" s="7">
        <v>1.07</v>
      </c>
      <c r="L373" s="3">
        <v>437</v>
      </c>
      <c r="M373" s="3">
        <v>450</v>
      </c>
      <c r="N373" s="3">
        <v>13</v>
      </c>
      <c r="O373" s="5">
        <f t="shared" si="32"/>
        <v>0.97111111111111115</v>
      </c>
      <c r="P373" s="5">
        <f t="shared" si="33"/>
        <v>0.84718535469107559</v>
      </c>
      <c r="Q373" s="5">
        <f t="shared" si="34"/>
        <v>0.95664739884393069</v>
      </c>
      <c r="R373" s="5">
        <f t="shared" si="35"/>
        <v>0.78704444444444455</v>
      </c>
    </row>
    <row r="374" spans="1:18" x14ac:dyDescent="0.25">
      <c r="A374" s="3">
        <v>370</v>
      </c>
      <c r="B374" s="4">
        <v>46290</v>
      </c>
      <c r="C374" s="3" t="s">
        <v>30</v>
      </c>
      <c r="D374" s="3" t="s">
        <v>19</v>
      </c>
      <c r="E374" s="3" t="s">
        <v>32</v>
      </c>
      <c r="F374" s="3">
        <v>566</v>
      </c>
      <c r="G374" s="3">
        <v>558</v>
      </c>
      <c r="H374" s="3">
        <v>8</v>
      </c>
      <c r="I374" s="5">
        <f t="shared" si="31"/>
        <v>1.4134275618374558E-2</v>
      </c>
      <c r="J374" s="6">
        <f t="shared" si="36"/>
        <v>14134.275618374559</v>
      </c>
      <c r="K374" s="7">
        <v>0.72</v>
      </c>
      <c r="L374" s="3">
        <v>424</v>
      </c>
      <c r="M374" s="3">
        <v>450</v>
      </c>
      <c r="N374" s="3">
        <v>26</v>
      </c>
      <c r="O374" s="5">
        <f t="shared" si="32"/>
        <v>0.94222222222222218</v>
      </c>
      <c r="P374" s="5">
        <f t="shared" si="33"/>
        <v>0.9611320754716981</v>
      </c>
      <c r="Q374" s="5">
        <f t="shared" si="34"/>
        <v>0.98586572438162545</v>
      </c>
      <c r="R374" s="5">
        <f t="shared" si="35"/>
        <v>0.89279999999999993</v>
      </c>
    </row>
    <row r="375" spans="1:18" x14ac:dyDescent="0.25">
      <c r="A375" s="3">
        <v>371</v>
      </c>
      <c r="B375" s="4">
        <v>46290</v>
      </c>
      <c r="C375" s="3" t="s">
        <v>30</v>
      </c>
      <c r="D375" s="3" t="s">
        <v>21</v>
      </c>
      <c r="E375" s="3" t="s">
        <v>32</v>
      </c>
      <c r="F375" s="3">
        <v>721</v>
      </c>
      <c r="G375" s="3">
        <v>698</v>
      </c>
      <c r="H375" s="3">
        <v>23</v>
      </c>
      <c r="I375" s="5">
        <f t="shared" si="31"/>
        <v>3.1900138696255201E-2</v>
      </c>
      <c r="J375" s="6">
        <f t="shared" si="36"/>
        <v>31900.138696255202</v>
      </c>
      <c r="K375" s="7">
        <v>0.45</v>
      </c>
      <c r="L375" s="3">
        <v>416</v>
      </c>
      <c r="M375" s="3">
        <v>450</v>
      </c>
      <c r="N375" s="3">
        <v>34</v>
      </c>
      <c r="O375" s="5">
        <f t="shared" si="32"/>
        <v>0.9244444444444444</v>
      </c>
      <c r="P375" s="5">
        <f t="shared" si="33"/>
        <v>0.77992788461538454</v>
      </c>
      <c r="Q375" s="5">
        <f t="shared" si="34"/>
        <v>0.96809986130374481</v>
      </c>
      <c r="R375" s="5">
        <f t="shared" si="35"/>
        <v>0.69799999999999984</v>
      </c>
    </row>
    <row r="376" spans="1:18" x14ac:dyDescent="0.25">
      <c r="A376" s="3">
        <v>372</v>
      </c>
      <c r="B376" s="4">
        <v>46290</v>
      </c>
      <c r="C376" s="3" t="s">
        <v>30</v>
      </c>
      <c r="D376" s="3" t="s">
        <v>23</v>
      </c>
      <c r="E376" s="3" t="s">
        <v>20</v>
      </c>
      <c r="F376" s="3">
        <v>549</v>
      </c>
      <c r="G376" s="3">
        <v>530</v>
      </c>
      <c r="H376" s="3">
        <v>19</v>
      </c>
      <c r="I376" s="5">
        <f t="shared" si="31"/>
        <v>3.4608378870673952E-2</v>
      </c>
      <c r="J376" s="6">
        <f t="shared" si="36"/>
        <v>34608.378870673951</v>
      </c>
      <c r="K376" s="7">
        <v>0.71</v>
      </c>
      <c r="L376" s="3">
        <v>404</v>
      </c>
      <c r="M376" s="3">
        <v>450</v>
      </c>
      <c r="N376" s="3">
        <v>46</v>
      </c>
      <c r="O376" s="5">
        <f t="shared" si="32"/>
        <v>0.89777777777777779</v>
      </c>
      <c r="P376" s="5">
        <f t="shared" si="33"/>
        <v>0.96482673267326724</v>
      </c>
      <c r="Q376" s="5">
        <f t="shared" si="34"/>
        <v>0.96539162112932608</v>
      </c>
      <c r="R376" s="5">
        <f t="shared" si="35"/>
        <v>0.8362222222222222</v>
      </c>
    </row>
    <row r="377" spans="1:18" x14ac:dyDescent="0.25">
      <c r="A377" s="3">
        <v>373</v>
      </c>
      <c r="B377" s="4">
        <v>46290</v>
      </c>
      <c r="C377" s="3" t="s">
        <v>33</v>
      </c>
      <c r="D377" s="3" t="s">
        <v>19</v>
      </c>
      <c r="E377" s="3" t="s">
        <v>34</v>
      </c>
      <c r="F377" s="3">
        <v>287</v>
      </c>
      <c r="G377" s="3">
        <v>274</v>
      </c>
      <c r="H377" s="3">
        <v>13</v>
      </c>
      <c r="I377" s="5">
        <f t="shared" si="31"/>
        <v>4.5296167247386762E-2</v>
      </c>
      <c r="J377" s="6">
        <f t="shared" si="36"/>
        <v>45296.167247386766</v>
      </c>
      <c r="K377" s="7">
        <v>1.4</v>
      </c>
      <c r="L377" s="3">
        <v>421</v>
      </c>
      <c r="M377" s="3">
        <v>450</v>
      </c>
      <c r="N377" s="3">
        <v>29</v>
      </c>
      <c r="O377" s="5">
        <f t="shared" si="32"/>
        <v>0.93555555555555558</v>
      </c>
      <c r="P377" s="5">
        <f t="shared" si="33"/>
        <v>0.95439429928741082</v>
      </c>
      <c r="Q377" s="5">
        <f t="shared" si="34"/>
        <v>0.95470383275261328</v>
      </c>
      <c r="R377" s="5">
        <f t="shared" si="35"/>
        <v>0.85244444444444445</v>
      </c>
    </row>
    <row r="378" spans="1:18" x14ac:dyDescent="0.25">
      <c r="A378" s="3">
        <v>374</v>
      </c>
      <c r="B378" s="4">
        <v>46290</v>
      </c>
      <c r="C378" s="3" t="s">
        <v>33</v>
      </c>
      <c r="D378" s="3" t="s">
        <v>21</v>
      </c>
      <c r="E378" s="3" t="s">
        <v>34</v>
      </c>
      <c r="F378" s="3">
        <v>538</v>
      </c>
      <c r="G378" s="3">
        <v>518</v>
      </c>
      <c r="H378" s="3">
        <v>20</v>
      </c>
      <c r="I378" s="5">
        <f t="shared" si="31"/>
        <v>3.717472118959108E-2</v>
      </c>
      <c r="J378" s="6">
        <f t="shared" si="36"/>
        <v>37174.72118959108</v>
      </c>
      <c r="K378" s="7">
        <v>0.7</v>
      </c>
      <c r="L378" s="3">
        <v>444</v>
      </c>
      <c r="M378" s="3">
        <v>450</v>
      </c>
      <c r="N378" s="3">
        <v>6</v>
      </c>
      <c r="O378" s="5">
        <f t="shared" si="32"/>
        <v>0.98666666666666669</v>
      </c>
      <c r="P378" s="5">
        <f t="shared" si="33"/>
        <v>0.84819819819819808</v>
      </c>
      <c r="Q378" s="5">
        <f t="shared" si="34"/>
        <v>0.96282527881040891</v>
      </c>
      <c r="R378" s="5">
        <f t="shared" si="35"/>
        <v>0.8057777777777777</v>
      </c>
    </row>
    <row r="379" spans="1:18" x14ac:dyDescent="0.25">
      <c r="A379" s="3">
        <v>375</v>
      </c>
      <c r="B379" s="4">
        <v>46290</v>
      </c>
      <c r="C379" s="3" t="s">
        <v>33</v>
      </c>
      <c r="D379" s="3" t="s">
        <v>23</v>
      </c>
      <c r="E379" s="3" t="s">
        <v>20</v>
      </c>
      <c r="F379" s="3">
        <v>686</v>
      </c>
      <c r="G379" s="3">
        <v>683</v>
      </c>
      <c r="H379" s="3">
        <v>3</v>
      </c>
      <c r="I379" s="5">
        <f t="shared" si="31"/>
        <v>4.3731778425655978E-3</v>
      </c>
      <c r="J379" s="6">
        <f t="shared" si="36"/>
        <v>4373.1778425655975</v>
      </c>
      <c r="K379" s="7">
        <v>0.57999999999999996</v>
      </c>
      <c r="L379" s="3">
        <v>411</v>
      </c>
      <c r="M379" s="3">
        <v>450</v>
      </c>
      <c r="N379" s="3">
        <v>39</v>
      </c>
      <c r="O379" s="5">
        <f t="shared" si="32"/>
        <v>0.91333333333333333</v>
      </c>
      <c r="P379" s="5">
        <f t="shared" si="33"/>
        <v>0.96807785888077857</v>
      </c>
      <c r="Q379" s="5">
        <f t="shared" si="34"/>
        <v>0.99562682215743437</v>
      </c>
      <c r="R379" s="5">
        <f t="shared" si="35"/>
        <v>0.88031111111111104</v>
      </c>
    </row>
    <row r="380" spans="1:18" x14ac:dyDescent="0.25">
      <c r="A380" s="3">
        <v>376</v>
      </c>
      <c r="B380" s="4">
        <v>46291</v>
      </c>
      <c r="C380" s="3" t="s">
        <v>18</v>
      </c>
      <c r="D380" s="3" t="s">
        <v>19</v>
      </c>
      <c r="E380" s="3" t="s">
        <v>20</v>
      </c>
      <c r="F380" s="3">
        <v>325</v>
      </c>
      <c r="G380" s="3">
        <v>320</v>
      </c>
      <c r="H380" s="3">
        <v>5</v>
      </c>
      <c r="I380" s="5">
        <f t="shared" si="31"/>
        <v>1.5384615384615385E-2</v>
      </c>
      <c r="J380" s="6">
        <f t="shared" si="36"/>
        <v>15384.615384615385</v>
      </c>
      <c r="K380" s="7">
        <v>1.1499999999999999</v>
      </c>
      <c r="L380" s="3">
        <v>405</v>
      </c>
      <c r="M380" s="3">
        <v>450</v>
      </c>
      <c r="N380" s="3">
        <v>45</v>
      </c>
      <c r="O380" s="5">
        <f t="shared" si="32"/>
        <v>0.9</v>
      </c>
      <c r="P380" s="5">
        <f t="shared" si="33"/>
        <v>0.92283950617283939</v>
      </c>
      <c r="Q380" s="5">
        <f t="shared" si="34"/>
        <v>0.98461538461538467</v>
      </c>
      <c r="R380" s="5">
        <f t="shared" si="35"/>
        <v>0.81777777777777771</v>
      </c>
    </row>
    <row r="381" spans="1:18" x14ac:dyDescent="0.25">
      <c r="A381" s="3">
        <v>377</v>
      </c>
      <c r="B381" s="4">
        <v>46291</v>
      </c>
      <c r="C381" s="3" t="s">
        <v>18</v>
      </c>
      <c r="D381" s="3" t="s">
        <v>21</v>
      </c>
      <c r="E381" s="3" t="s">
        <v>35</v>
      </c>
      <c r="F381" s="3">
        <v>212</v>
      </c>
      <c r="G381" s="3">
        <v>204</v>
      </c>
      <c r="H381" s="3">
        <v>8</v>
      </c>
      <c r="I381" s="5">
        <f t="shared" si="31"/>
        <v>3.7735849056603772E-2</v>
      </c>
      <c r="J381" s="6">
        <f t="shared" si="36"/>
        <v>37735.849056603773</v>
      </c>
      <c r="K381" s="7">
        <v>1.62</v>
      </c>
      <c r="L381" s="3">
        <v>395</v>
      </c>
      <c r="M381" s="3">
        <v>450</v>
      </c>
      <c r="N381" s="3">
        <v>55</v>
      </c>
      <c r="O381" s="5">
        <f t="shared" si="32"/>
        <v>0.87777777777777777</v>
      </c>
      <c r="P381" s="5">
        <f t="shared" si="33"/>
        <v>0.86946835443037973</v>
      </c>
      <c r="Q381" s="5">
        <f t="shared" si="34"/>
        <v>0.96226415094339623</v>
      </c>
      <c r="R381" s="5">
        <f t="shared" si="35"/>
        <v>0.73439999999999994</v>
      </c>
    </row>
    <row r="382" spans="1:18" x14ac:dyDescent="0.25">
      <c r="A382" s="3">
        <v>378</v>
      </c>
      <c r="B382" s="4">
        <v>46291</v>
      </c>
      <c r="C382" s="3" t="s">
        <v>18</v>
      </c>
      <c r="D382" s="3" t="s">
        <v>23</v>
      </c>
      <c r="E382" s="3" t="s">
        <v>31</v>
      </c>
      <c r="F382" s="3">
        <v>681</v>
      </c>
      <c r="G382" s="3">
        <v>677</v>
      </c>
      <c r="H382" s="3">
        <v>4</v>
      </c>
      <c r="I382" s="5">
        <f t="shared" si="31"/>
        <v>5.8737151248164461E-3</v>
      </c>
      <c r="J382" s="6">
        <f t="shared" si="36"/>
        <v>5873.7151248164464</v>
      </c>
      <c r="K382" s="7">
        <v>0.63</v>
      </c>
      <c r="L382" s="3">
        <v>436</v>
      </c>
      <c r="M382" s="3">
        <v>450</v>
      </c>
      <c r="N382" s="3">
        <v>14</v>
      </c>
      <c r="O382" s="5">
        <f t="shared" si="32"/>
        <v>0.96888888888888891</v>
      </c>
      <c r="P382" s="5">
        <f t="shared" si="33"/>
        <v>0.98401376146788999</v>
      </c>
      <c r="Q382" s="5">
        <f t="shared" si="34"/>
        <v>0.99412628487518351</v>
      </c>
      <c r="R382" s="5">
        <f t="shared" si="35"/>
        <v>0.94780000000000009</v>
      </c>
    </row>
    <row r="383" spans="1:18" x14ac:dyDescent="0.25">
      <c r="A383" s="3">
        <v>379</v>
      </c>
      <c r="B383" s="4">
        <v>46291</v>
      </c>
      <c r="C383" s="3" t="s">
        <v>25</v>
      </c>
      <c r="D383" s="3" t="s">
        <v>19</v>
      </c>
      <c r="E383" s="3" t="s">
        <v>27</v>
      </c>
      <c r="F383" s="3">
        <v>366</v>
      </c>
      <c r="G383" s="3">
        <v>353</v>
      </c>
      <c r="H383" s="3">
        <v>13</v>
      </c>
      <c r="I383" s="5">
        <f t="shared" si="31"/>
        <v>3.5519125683060107E-2</v>
      </c>
      <c r="J383" s="6">
        <f t="shared" si="36"/>
        <v>35519.125683060105</v>
      </c>
      <c r="K383" s="7">
        <v>1.06</v>
      </c>
      <c r="L383" s="3">
        <v>409</v>
      </c>
      <c r="M383" s="3">
        <v>450</v>
      </c>
      <c r="N383" s="3">
        <v>41</v>
      </c>
      <c r="O383" s="5">
        <f t="shared" si="32"/>
        <v>0.90888888888888886</v>
      </c>
      <c r="P383" s="5">
        <f t="shared" si="33"/>
        <v>0.94855745721271401</v>
      </c>
      <c r="Q383" s="5">
        <f t="shared" si="34"/>
        <v>0.96448087431693985</v>
      </c>
      <c r="R383" s="5">
        <f t="shared" si="35"/>
        <v>0.8315111111111112</v>
      </c>
    </row>
    <row r="384" spans="1:18" x14ac:dyDescent="0.25">
      <c r="A384" s="3">
        <v>380</v>
      </c>
      <c r="B384" s="4">
        <v>46291</v>
      </c>
      <c r="C384" s="3" t="s">
        <v>25</v>
      </c>
      <c r="D384" s="3" t="s">
        <v>21</v>
      </c>
      <c r="E384" s="3" t="s">
        <v>20</v>
      </c>
      <c r="F384" s="3">
        <v>286</v>
      </c>
      <c r="G384" s="3">
        <v>277</v>
      </c>
      <c r="H384" s="3">
        <v>9</v>
      </c>
      <c r="I384" s="5">
        <f t="shared" si="31"/>
        <v>3.1468531468531472E-2</v>
      </c>
      <c r="J384" s="6">
        <f t="shared" si="36"/>
        <v>31468.53146853147</v>
      </c>
      <c r="K384" s="7">
        <v>1.58</v>
      </c>
      <c r="L384" s="3">
        <v>441</v>
      </c>
      <c r="M384" s="3">
        <v>450</v>
      </c>
      <c r="N384" s="3">
        <v>9</v>
      </c>
      <c r="O384" s="5">
        <f t="shared" si="32"/>
        <v>0.98</v>
      </c>
      <c r="P384" s="5">
        <f t="shared" si="33"/>
        <v>1.0246712018140589</v>
      </c>
      <c r="Q384" s="5">
        <f t="shared" si="34"/>
        <v>0.96853146853146854</v>
      </c>
      <c r="R384" s="5">
        <f t="shared" si="35"/>
        <v>0.97257777777777765</v>
      </c>
    </row>
    <row r="385" spans="1:18" x14ac:dyDescent="0.25">
      <c r="A385" s="3">
        <v>381</v>
      </c>
      <c r="B385" s="4">
        <v>46291</v>
      </c>
      <c r="C385" s="3" t="s">
        <v>25</v>
      </c>
      <c r="D385" s="3" t="s">
        <v>23</v>
      </c>
      <c r="E385" s="3" t="s">
        <v>27</v>
      </c>
      <c r="F385" s="3">
        <v>302</v>
      </c>
      <c r="G385" s="3">
        <v>293</v>
      </c>
      <c r="H385" s="3">
        <v>9</v>
      </c>
      <c r="I385" s="5">
        <f t="shared" si="31"/>
        <v>2.9801324503311258E-2</v>
      </c>
      <c r="J385" s="6">
        <f t="shared" si="36"/>
        <v>29801.324503311258</v>
      </c>
      <c r="K385" s="7">
        <v>1.47</v>
      </c>
      <c r="L385" s="3">
        <v>441</v>
      </c>
      <c r="M385" s="3">
        <v>450</v>
      </c>
      <c r="N385" s="3">
        <v>9</v>
      </c>
      <c r="O385" s="5">
        <f t="shared" si="32"/>
        <v>0.98</v>
      </c>
      <c r="P385" s="5">
        <f t="shared" si="33"/>
        <v>1.0066666666666666</v>
      </c>
      <c r="Q385" s="5">
        <f t="shared" si="34"/>
        <v>0.9701986754966887</v>
      </c>
      <c r="R385" s="5">
        <f t="shared" si="35"/>
        <v>0.95713333333333317</v>
      </c>
    </row>
    <row r="386" spans="1:18" x14ac:dyDescent="0.25">
      <c r="A386" s="3">
        <v>382</v>
      </c>
      <c r="B386" s="4">
        <v>46291</v>
      </c>
      <c r="C386" s="3" t="s">
        <v>28</v>
      </c>
      <c r="D386" s="3" t="s">
        <v>19</v>
      </c>
      <c r="E386" s="3" t="s">
        <v>24</v>
      </c>
      <c r="F386" s="3">
        <v>213</v>
      </c>
      <c r="G386" s="3">
        <v>208</v>
      </c>
      <c r="H386" s="3">
        <v>5</v>
      </c>
      <c r="I386" s="5">
        <f t="shared" si="31"/>
        <v>2.3474178403755867E-2</v>
      </c>
      <c r="J386" s="6">
        <f t="shared" si="36"/>
        <v>23474.178403755868</v>
      </c>
      <c r="K386" s="7">
        <v>1.63</v>
      </c>
      <c r="L386" s="3">
        <v>415</v>
      </c>
      <c r="M386" s="3">
        <v>450</v>
      </c>
      <c r="N386" s="3">
        <v>35</v>
      </c>
      <c r="O386" s="5">
        <f t="shared" si="32"/>
        <v>0.92222222222222228</v>
      </c>
      <c r="P386" s="5">
        <f t="shared" si="33"/>
        <v>0.83660240963855426</v>
      </c>
      <c r="Q386" s="5">
        <f t="shared" si="34"/>
        <v>0.97652582159624413</v>
      </c>
      <c r="R386" s="5">
        <f t="shared" si="35"/>
        <v>0.75342222222222233</v>
      </c>
    </row>
    <row r="387" spans="1:18" x14ac:dyDescent="0.25">
      <c r="A387" s="3">
        <v>383</v>
      </c>
      <c r="B387" s="4">
        <v>46291</v>
      </c>
      <c r="C387" s="3" t="s">
        <v>28</v>
      </c>
      <c r="D387" s="3" t="s">
        <v>21</v>
      </c>
      <c r="E387" s="3" t="s">
        <v>31</v>
      </c>
      <c r="F387" s="3">
        <v>261</v>
      </c>
      <c r="G387" s="3">
        <v>249</v>
      </c>
      <c r="H387" s="3">
        <v>12</v>
      </c>
      <c r="I387" s="5">
        <f t="shared" si="31"/>
        <v>4.5977011494252873E-2</v>
      </c>
      <c r="J387" s="6">
        <f t="shared" si="36"/>
        <v>45977.011494252874</v>
      </c>
      <c r="K387" s="7">
        <v>1.41</v>
      </c>
      <c r="L387" s="3">
        <v>443</v>
      </c>
      <c r="M387" s="3">
        <v>450</v>
      </c>
      <c r="N387" s="3">
        <v>7</v>
      </c>
      <c r="O387" s="5">
        <f t="shared" si="32"/>
        <v>0.98444444444444446</v>
      </c>
      <c r="P387" s="5">
        <f t="shared" si="33"/>
        <v>0.8307223476297968</v>
      </c>
      <c r="Q387" s="5">
        <f t="shared" si="34"/>
        <v>0.95402298850574707</v>
      </c>
      <c r="R387" s="5">
        <f t="shared" si="35"/>
        <v>0.78019999999999989</v>
      </c>
    </row>
    <row r="388" spans="1:18" x14ac:dyDescent="0.25">
      <c r="A388" s="3">
        <v>384</v>
      </c>
      <c r="B388" s="4">
        <v>46291</v>
      </c>
      <c r="C388" s="3" t="s">
        <v>28</v>
      </c>
      <c r="D388" s="3" t="s">
        <v>23</v>
      </c>
      <c r="E388" s="3" t="s">
        <v>31</v>
      </c>
      <c r="F388" s="3">
        <v>364</v>
      </c>
      <c r="G388" s="3">
        <v>358</v>
      </c>
      <c r="H388" s="3">
        <v>6</v>
      </c>
      <c r="I388" s="5">
        <f t="shared" si="31"/>
        <v>1.6483516483516484E-2</v>
      </c>
      <c r="J388" s="6">
        <f t="shared" si="36"/>
        <v>16483.516483516483</v>
      </c>
      <c r="K388" s="7">
        <v>0.98</v>
      </c>
      <c r="L388" s="3">
        <v>433</v>
      </c>
      <c r="M388" s="3">
        <v>450</v>
      </c>
      <c r="N388" s="3">
        <v>17</v>
      </c>
      <c r="O388" s="5">
        <f t="shared" si="32"/>
        <v>0.9622222222222222</v>
      </c>
      <c r="P388" s="5">
        <f t="shared" si="33"/>
        <v>0.82383371824480367</v>
      </c>
      <c r="Q388" s="5">
        <f t="shared" si="34"/>
        <v>0.98351648351648346</v>
      </c>
      <c r="R388" s="5">
        <f t="shared" si="35"/>
        <v>0.77964444444444436</v>
      </c>
    </row>
    <row r="389" spans="1:18" x14ac:dyDescent="0.25">
      <c r="A389" s="3">
        <v>385</v>
      </c>
      <c r="B389" s="4">
        <v>46291</v>
      </c>
      <c r="C389" s="3" t="s">
        <v>30</v>
      </c>
      <c r="D389" s="3" t="s">
        <v>19</v>
      </c>
      <c r="E389" s="3" t="s">
        <v>29</v>
      </c>
      <c r="F389" s="3">
        <v>454</v>
      </c>
      <c r="G389" s="3">
        <v>434</v>
      </c>
      <c r="H389" s="3">
        <v>20</v>
      </c>
      <c r="I389" s="5">
        <f t="shared" ref="I389:I452" si="37">IFERROR(H389/F389,0)</f>
        <v>4.405286343612335E-2</v>
      </c>
      <c r="J389" s="6">
        <f t="shared" si="36"/>
        <v>44052.863436123349</v>
      </c>
      <c r="K389" s="7">
        <v>0.93</v>
      </c>
      <c r="L389" s="3">
        <v>418</v>
      </c>
      <c r="M389" s="3">
        <v>450</v>
      </c>
      <c r="N389" s="3">
        <v>32</v>
      </c>
      <c r="O389" s="5">
        <f t="shared" ref="O389:O454" si="38">IFERROR(L389/M389,0)</f>
        <v>0.92888888888888888</v>
      </c>
      <c r="P389" s="5">
        <f t="shared" ref="P389:P454" si="39">IFERROR(F389*K389/L389,0)</f>
        <v>1.0100956937799044</v>
      </c>
      <c r="Q389" s="5">
        <f t="shared" ref="Q389:Q454" si="40">IFERROR(G389/F389,0)</f>
        <v>0.95594713656387664</v>
      </c>
      <c r="R389" s="5">
        <f t="shared" ref="R389:R452" si="41">O389*P389*Q389</f>
        <v>0.89693333333333336</v>
      </c>
    </row>
    <row r="390" spans="1:18" x14ac:dyDescent="0.25">
      <c r="A390" s="3">
        <v>386</v>
      </c>
      <c r="B390" s="4">
        <v>46291</v>
      </c>
      <c r="C390" s="3" t="s">
        <v>30</v>
      </c>
      <c r="D390" s="3" t="s">
        <v>21</v>
      </c>
      <c r="E390" s="3" t="s">
        <v>35</v>
      </c>
      <c r="F390" s="3">
        <v>301</v>
      </c>
      <c r="G390" s="3">
        <v>296</v>
      </c>
      <c r="H390" s="3">
        <v>5</v>
      </c>
      <c r="I390" s="5">
        <f t="shared" si="37"/>
        <v>1.6611295681063124E-2</v>
      </c>
      <c r="J390" s="6">
        <f t="shared" ref="J390:J453" si="42">H390/F390*1000000</f>
        <v>16611.295681063126</v>
      </c>
      <c r="K390" s="7">
        <v>1.29</v>
      </c>
      <c r="L390" s="3">
        <v>407</v>
      </c>
      <c r="M390" s="3">
        <v>450</v>
      </c>
      <c r="N390" s="3">
        <v>43</v>
      </c>
      <c r="O390" s="5">
        <f t="shared" si="38"/>
        <v>0.9044444444444445</v>
      </c>
      <c r="P390" s="5">
        <f t="shared" si="39"/>
        <v>0.95402948402948407</v>
      </c>
      <c r="Q390" s="5">
        <f t="shared" si="40"/>
        <v>0.98338870431893688</v>
      </c>
      <c r="R390" s="5">
        <f t="shared" si="41"/>
        <v>0.84853333333333347</v>
      </c>
    </row>
    <row r="391" spans="1:18" x14ac:dyDescent="0.25">
      <c r="A391" s="3">
        <v>387</v>
      </c>
      <c r="B391" s="4">
        <v>46291</v>
      </c>
      <c r="C391" s="3" t="s">
        <v>30</v>
      </c>
      <c r="D391" s="3" t="s">
        <v>23</v>
      </c>
      <c r="E391" s="3" t="s">
        <v>32</v>
      </c>
      <c r="F391" s="3">
        <v>198</v>
      </c>
      <c r="G391" s="3">
        <v>189</v>
      </c>
      <c r="H391" s="3">
        <v>9</v>
      </c>
      <c r="I391" s="5">
        <f t="shared" si="37"/>
        <v>4.5454545454545456E-2</v>
      </c>
      <c r="J391" s="6">
        <f t="shared" si="42"/>
        <v>45454.545454545456</v>
      </c>
      <c r="K391" s="7">
        <v>1.59</v>
      </c>
      <c r="L391" s="3">
        <v>391</v>
      </c>
      <c r="M391" s="3">
        <v>450</v>
      </c>
      <c r="N391" s="3">
        <v>59</v>
      </c>
      <c r="O391" s="5">
        <f t="shared" si="38"/>
        <v>0.86888888888888893</v>
      </c>
      <c r="P391" s="5">
        <f t="shared" si="39"/>
        <v>0.80516624040920715</v>
      </c>
      <c r="Q391" s="5">
        <f t="shared" si="40"/>
        <v>0.95454545454545459</v>
      </c>
      <c r="R391" s="5">
        <f t="shared" si="41"/>
        <v>0.66780000000000006</v>
      </c>
    </row>
    <row r="392" spans="1:18" x14ac:dyDescent="0.25">
      <c r="A392" s="3">
        <v>388</v>
      </c>
      <c r="B392" s="4">
        <v>46291</v>
      </c>
      <c r="C392" s="3" t="s">
        <v>33</v>
      </c>
      <c r="D392" s="3" t="s">
        <v>19</v>
      </c>
      <c r="E392" s="3" t="s">
        <v>31</v>
      </c>
      <c r="F392" s="3">
        <v>231</v>
      </c>
      <c r="G392" s="3">
        <v>224</v>
      </c>
      <c r="H392" s="3">
        <v>7</v>
      </c>
      <c r="I392" s="5">
        <f t="shared" si="37"/>
        <v>3.0303030303030304E-2</v>
      </c>
      <c r="J392" s="6">
        <f t="shared" si="42"/>
        <v>30303.030303030304</v>
      </c>
      <c r="K392" s="7">
        <v>1.6</v>
      </c>
      <c r="L392" s="3">
        <v>432</v>
      </c>
      <c r="M392" s="3">
        <v>450</v>
      </c>
      <c r="N392" s="3">
        <v>18</v>
      </c>
      <c r="O392" s="5">
        <f t="shared" si="38"/>
        <v>0.96</v>
      </c>
      <c r="P392" s="5">
        <f t="shared" si="39"/>
        <v>0.85555555555555562</v>
      </c>
      <c r="Q392" s="5">
        <f t="shared" si="40"/>
        <v>0.96969696969696972</v>
      </c>
      <c r="R392" s="5">
        <f t="shared" si="41"/>
        <v>0.79644444444444451</v>
      </c>
    </row>
    <row r="393" spans="1:18" x14ac:dyDescent="0.25">
      <c r="A393" s="3">
        <v>389</v>
      </c>
      <c r="B393" s="4">
        <v>46291</v>
      </c>
      <c r="C393" s="3" t="s">
        <v>33</v>
      </c>
      <c r="D393" s="3" t="s">
        <v>21</v>
      </c>
      <c r="E393" s="3" t="s">
        <v>29</v>
      </c>
      <c r="F393" s="3">
        <v>327</v>
      </c>
      <c r="G393" s="3">
        <v>324</v>
      </c>
      <c r="H393" s="3">
        <v>3</v>
      </c>
      <c r="I393" s="5">
        <f t="shared" si="37"/>
        <v>9.1743119266055051E-3</v>
      </c>
      <c r="J393" s="6">
        <f t="shared" si="42"/>
        <v>9174.3119266055055</v>
      </c>
      <c r="K393" s="7">
        <v>1.03</v>
      </c>
      <c r="L393" s="3">
        <v>396</v>
      </c>
      <c r="M393" s="3">
        <v>450</v>
      </c>
      <c r="N393" s="3">
        <v>54</v>
      </c>
      <c r="O393" s="5">
        <f t="shared" si="38"/>
        <v>0.88</v>
      </c>
      <c r="P393" s="5">
        <f t="shared" si="39"/>
        <v>0.85053030303030308</v>
      </c>
      <c r="Q393" s="5">
        <f t="shared" si="40"/>
        <v>0.99082568807339455</v>
      </c>
      <c r="R393" s="5">
        <f t="shared" si="41"/>
        <v>0.74160000000000015</v>
      </c>
    </row>
    <row r="394" spans="1:18" x14ac:dyDescent="0.25">
      <c r="A394" s="3">
        <v>390</v>
      </c>
      <c r="B394" s="4">
        <v>46291</v>
      </c>
      <c r="C394" s="3" t="s">
        <v>33</v>
      </c>
      <c r="D394" s="3" t="s">
        <v>23</v>
      </c>
      <c r="E394" s="3" t="s">
        <v>24</v>
      </c>
      <c r="F394" s="3">
        <v>330</v>
      </c>
      <c r="G394" s="3">
        <v>322</v>
      </c>
      <c r="H394" s="3">
        <v>8</v>
      </c>
      <c r="I394" s="5">
        <f t="shared" si="37"/>
        <v>2.4242424242424242E-2</v>
      </c>
      <c r="J394" s="6">
        <f t="shared" si="42"/>
        <v>24242.424242424244</v>
      </c>
      <c r="K394" s="7">
        <v>1.1499999999999999</v>
      </c>
      <c r="L394" s="3">
        <v>426</v>
      </c>
      <c r="M394" s="3">
        <v>450</v>
      </c>
      <c r="N394" s="3">
        <v>24</v>
      </c>
      <c r="O394" s="5">
        <f t="shared" si="38"/>
        <v>0.94666666666666666</v>
      </c>
      <c r="P394" s="5">
        <f t="shared" si="39"/>
        <v>0.89084507042253502</v>
      </c>
      <c r="Q394" s="5">
        <f t="shared" si="40"/>
        <v>0.97575757575757571</v>
      </c>
      <c r="R394" s="5">
        <f t="shared" si="41"/>
        <v>0.82288888888888867</v>
      </c>
    </row>
    <row r="395" spans="1:18" x14ac:dyDescent="0.25">
      <c r="A395" s="3">
        <v>391</v>
      </c>
      <c r="B395" s="4">
        <v>46292</v>
      </c>
      <c r="C395" s="3" t="s">
        <v>18</v>
      </c>
      <c r="D395" s="3" t="s">
        <v>19</v>
      </c>
      <c r="E395" s="3" t="s">
        <v>34</v>
      </c>
      <c r="F395" s="3">
        <v>578</v>
      </c>
      <c r="G395" s="3">
        <v>554</v>
      </c>
      <c r="H395" s="3">
        <v>24</v>
      </c>
      <c r="I395" s="5">
        <f t="shared" si="37"/>
        <v>4.1522491349480967E-2</v>
      </c>
      <c r="J395" s="6">
        <f t="shared" si="42"/>
        <v>41522.491349480966</v>
      </c>
      <c r="K395" s="7">
        <v>0.66</v>
      </c>
      <c r="L395" s="3">
        <v>406</v>
      </c>
      <c r="M395" s="3">
        <v>450</v>
      </c>
      <c r="N395" s="3">
        <v>44</v>
      </c>
      <c r="O395" s="5">
        <f t="shared" si="38"/>
        <v>0.90222222222222226</v>
      </c>
      <c r="P395" s="5">
        <f t="shared" si="39"/>
        <v>0.93960591133004934</v>
      </c>
      <c r="Q395" s="5">
        <f t="shared" si="40"/>
        <v>0.95847750865051906</v>
      </c>
      <c r="R395" s="5">
        <f t="shared" si="41"/>
        <v>0.81253333333333344</v>
      </c>
    </row>
    <row r="396" spans="1:18" x14ac:dyDescent="0.25">
      <c r="A396" s="3">
        <v>392</v>
      </c>
      <c r="B396" s="4">
        <v>46292</v>
      </c>
      <c r="C396" s="3" t="s">
        <v>18</v>
      </c>
      <c r="D396" s="3" t="s">
        <v>21</v>
      </c>
      <c r="E396" s="3" t="s">
        <v>29</v>
      </c>
      <c r="F396" s="3">
        <v>711</v>
      </c>
      <c r="G396" s="3">
        <v>684</v>
      </c>
      <c r="H396" s="3">
        <v>27</v>
      </c>
      <c r="I396" s="5">
        <f t="shared" si="37"/>
        <v>3.7974683544303799E-2</v>
      </c>
      <c r="J396" s="6">
        <f t="shared" si="42"/>
        <v>37974.6835443038</v>
      </c>
      <c r="K396" s="7">
        <v>0.51</v>
      </c>
      <c r="L396" s="3">
        <v>388</v>
      </c>
      <c r="M396" s="3">
        <v>450</v>
      </c>
      <c r="N396" s="3">
        <v>62</v>
      </c>
      <c r="O396" s="5">
        <f t="shared" si="38"/>
        <v>0.86222222222222222</v>
      </c>
      <c r="P396" s="5">
        <f t="shared" si="39"/>
        <v>0.93456185567010308</v>
      </c>
      <c r="Q396" s="5">
        <f t="shared" si="40"/>
        <v>0.96202531645569622</v>
      </c>
      <c r="R396" s="5">
        <f t="shared" si="41"/>
        <v>0.7752</v>
      </c>
    </row>
    <row r="397" spans="1:18" x14ac:dyDescent="0.25">
      <c r="A397" s="3">
        <v>393</v>
      </c>
      <c r="B397" s="4">
        <v>46292</v>
      </c>
      <c r="C397" s="3" t="s">
        <v>18</v>
      </c>
      <c r="D397" s="3" t="s">
        <v>23</v>
      </c>
      <c r="E397" s="3" t="s">
        <v>31</v>
      </c>
      <c r="F397" s="3">
        <v>424</v>
      </c>
      <c r="G397" s="3">
        <v>418</v>
      </c>
      <c r="H397" s="3">
        <v>6</v>
      </c>
      <c r="I397" s="5">
        <f t="shared" si="37"/>
        <v>1.4150943396226415E-2</v>
      </c>
      <c r="J397" s="6">
        <f t="shared" si="42"/>
        <v>14150.943396226416</v>
      </c>
      <c r="K397" s="7">
        <v>0.83</v>
      </c>
      <c r="L397" s="3">
        <v>416</v>
      </c>
      <c r="M397" s="3">
        <v>450</v>
      </c>
      <c r="N397" s="3">
        <v>34</v>
      </c>
      <c r="O397" s="5">
        <f t="shared" si="38"/>
        <v>0.9244444444444444</v>
      </c>
      <c r="P397" s="5">
        <f t="shared" si="39"/>
        <v>0.84596153846153832</v>
      </c>
      <c r="Q397" s="5">
        <f t="shared" si="40"/>
        <v>0.98584905660377353</v>
      </c>
      <c r="R397" s="5">
        <f t="shared" si="41"/>
        <v>0.77097777777777765</v>
      </c>
    </row>
    <row r="398" spans="1:18" x14ac:dyDescent="0.25">
      <c r="A398" s="3">
        <v>394</v>
      </c>
      <c r="B398" s="4">
        <v>46292</v>
      </c>
      <c r="C398" s="3" t="s">
        <v>25</v>
      </c>
      <c r="D398" s="3" t="s">
        <v>19</v>
      </c>
      <c r="E398" s="3" t="s">
        <v>32</v>
      </c>
      <c r="F398" s="3">
        <v>373</v>
      </c>
      <c r="G398" s="3">
        <v>368</v>
      </c>
      <c r="H398" s="3">
        <v>5</v>
      </c>
      <c r="I398" s="5">
        <f t="shared" si="37"/>
        <v>1.3404825737265416E-2</v>
      </c>
      <c r="J398" s="6">
        <f t="shared" si="42"/>
        <v>13404.825737265415</v>
      </c>
      <c r="K398" s="7">
        <v>1</v>
      </c>
      <c r="L398" s="3">
        <v>434</v>
      </c>
      <c r="M398" s="3">
        <v>450</v>
      </c>
      <c r="N398" s="3">
        <v>16</v>
      </c>
      <c r="O398" s="5">
        <f t="shared" si="38"/>
        <v>0.96444444444444444</v>
      </c>
      <c r="P398" s="5">
        <f t="shared" si="39"/>
        <v>0.85944700460829493</v>
      </c>
      <c r="Q398" s="5">
        <f t="shared" si="40"/>
        <v>0.98659517426273458</v>
      </c>
      <c r="R398" s="5">
        <f t="shared" si="41"/>
        <v>0.81777777777777783</v>
      </c>
    </row>
    <row r="399" spans="1:18" x14ac:dyDescent="0.25">
      <c r="A399" s="3">
        <v>395</v>
      </c>
      <c r="B399" s="4">
        <v>46292</v>
      </c>
      <c r="C399" s="3" t="s">
        <v>25</v>
      </c>
      <c r="D399" s="3" t="s">
        <v>21</v>
      </c>
      <c r="E399" s="3" t="s">
        <v>20</v>
      </c>
      <c r="F399" s="3">
        <v>259</v>
      </c>
      <c r="G399" s="3">
        <v>251</v>
      </c>
      <c r="H399" s="3">
        <v>8</v>
      </c>
      <c r="I399" s="5">
        <f t="shared" si="37"/>
        <v>3.0888030888030889E-2</v>
      </c>
      <c r="J399" s="6">
        <f t="shared" si="42"/>
        <v>30888.030888030888</v>
      </c>
      <c r="K399" s="7">
        <v>1.29</v>
      </c>
      <c r="L399" s="3">
        <v>387</v>
      </c>
      <c r="M399" s="3">
        <v>450</v>
      </c>
      <c r="N399" s="3">
        <v>63</v>
      </c>
      <c r="O399" s="5">
        <f t="shared" si="38"/>
        <v>0.86</v>
      </c>
      <c r="P399" s="5">
        <f t="shared" si="39"/>
        <v>0.8633333333333334</v>
      </c>
      <c r="Q399" s="5">
        <f t="shared" si="40"/>
        <v>0.96911196911196906</v>
      </c>
      <c r="R399" s="5">
        <f t="shared" si="41"/>
        <v>0.71953333333333336</v>
      </c>
    </row>
    <row r="400" spans="1:18" x14ac:dyDescent="0.25">
      <c r="A400" s="3">
        <v>396</v>
      </c>
      <c r="B400" s="4">
        <v>46292</v>
      </c>
      <c r="C400" s="3" t="s">
        <v>25</v>
      </c>
      <c r="D400" s="3" t="s">
        <v>23</v>
      </c>
      <c r="E400" s="3" t="s">
        <v>20</v>
      </c>
      <c r="F400" s="3">
        <v>615</v>
      </c>
      <c r="G400" s="3">
        <v>608</v>
      </c>
      <c r="H400" s="3">
        <v>7</v>
      </c>
      <c r="I400" s="5">
        <f t="shared" si="37"/>
        <v>1.1382113821138212E-2</v>
      </c>
      <c r="J400" s="6">
        <f t="shared" si="42"/>
        <v>11382.113821138213</v>
      </c>
      <c r="K400" s="7">
        <v>0.6</v>
      </c>
      <c r="L400" s="3">
        <v>442</v>
      </c>
      <c r="M400" s="3">
        <v>450</v>
      </c>
      <c r="N400" s="3">
        <v>8</v>
      </c>
      <c r="O400" s="5">
        <f t="shared" si="38"/>
        <v>0.98222222222222222</v>
      </c>
      <c r="P400" s="5">
        <f t="shared" si="39"/>
        <v>0.83484162895927605</v>
      </c>
      <c r="Q400" s="5">
        <f t="shared" si="40"/>
        <v>0.98861788617886182</v>
      </c>
      <c r="R400" s="5">
        <f t="shared" si="41"/>
        <v>0.81066666666666676</v>
      </c>
    </row>
    <row r="401" spans="1:18" x14ac:dyDescent="0.25">
      <c r="A401" s="3">
        <v>397</v>
      </c>
      <c r="B401" s="4">
        <v>46292</v>
      </c>
      <c r="C401" s="3" t="s">
        <v>28</v>
      </c>
      <c r="D401" s="3" t="s">
        <v>19</v>
      </c>
      <c r="E401" s="3" t="s">
        <v>29</v>
      </c>
      <c r="F401" s="3">
        <v>1004</v>
      </c>
      <c r="G401" s="3">
        <v>989</v>
      </c>
      <c r="H401" s="3">
        <v>15</v>
      </c>
      <c r="I401" s="5">
        <f t="shared" si="37"/>
        <v>1.4940239043824702E-2</v>
      </c>
      <c r="J401" s="6">
        <f t="shared" si="42"/>
        <v>14940.239043824702</v>
      </c>
      <c r="K401" s="7">
        <v>0.35</v>
      </c>
      <c r="L401" s="3">
        <v>445</v>
      </c>
      <c r="M401" s="3">
        <v>450</v>
      </c>
      <c r="N401" s="3">
        <v>5</v>
      </c>
      <c r="O401" s="5">
        <f t="shared" si="38"/>
        <v>0.98888888888888893</v>
      </c>
      <c r="P401" s="5">
        <f t="shared" si="39"/>
        <v>0.78966292134831451</v>
      </c>
      <c r="Q401" s="5">
        <f t="shared" si="40"/>
        <v>0.98505976095617531</v>
      </c>
      <c r="R401" s="5">
        <f t="shared" si="41"/>
        <v>0.76922222222222225</v>
      </c>
    </row>
    <row r="402" spans="1:18" x14ac:dyDescent="0.25">
      <c r="A402" s="3">
        <v>398</v>
      </c>
      <c r="B402" s="4">
        <v>46292</v>
      </c>
      <c r="C402" s="3" t="s">
        <v>28</v>
      </c>
      <c r="D402" s="3" t="s">
        <v>21</v>
      </c>
      <c r="E402" s="3" t="s">
        <v>26</v>
      </c>
      <c r="F402" s="3">
        <v>235</v>
      </c>
      <c r="G402" s="3">
        <v>232</v>
      </c>
      <c r="H402" s="3">
        <v>3</v>
      </c>
      <c r="I402" s="5">
        <f t="shared" si="37"/>
        <v>1.276595744680851E-2</v>
      </c>
      <c r="J402" s="6">
        <f t="shared" si="42"/>
        <v>12765.95744680851</v>
      </c>
      <c r="K402" s="7">
        <v>1.79</v>
      </c>
      <c r="L402" s="3">
        <v>417</v>
      </c>
      <c r="M402" s="3">
        <v>450</v>
      </c>
      <c r="N402" s="3">
        <v>33</v>
      </c>
      <c r="O402" s="5">
        <f t="shared" si="38"/>
        <v>0.92666666666666664</v>
      </c>
      <c r="P402" s="5">
        <f t="shared" si="39"/>
        <v>1.0087529976019185</v>
      </c>
      <c r="Q402" s="5">
        <f t="shared" si="40"/>
        <v>0.98723404255319147</v>
      </c>
      <c r="R402" s="5">
        <f t="shared" si="41"/>
        <v>0.92284444444444447</v>
      </c>
    </row>
    <row r="403" spans="1:18" x14ac:dyDescent="0.25">
      <c r="A403" s="3">
        <v>399</v>
      </c>
      <c r="B403" s="4">
        <v>46292</v>
      </c>
      <c r="C403" s="3" t="s">
        <v>28</v>
      </c>
      <c r="D403" s="3" t="s">
        <v>23</v>
      </c>
      <c r="E403" s="3" t="s">
        <v>32</v>
      </c>
      <c r="F403" s="3">
        <v>488</v>
      </c>
      <c r="G403" s="3">
        <v>470</v>
      </c>
      <c r="H403" s="3">
        <v>18</v>
      </c>
      <c r="I403" s="5">
        <f t="shared" si="37"/>
        <v>3.6885245901639344E-2</v>
      </c>
      <c r="J403" s="6">
        <f t="shared" si="42"/>
        <v>36885.24590163934</v>
      </c>
      <c r="K403" s="7">
        <v>0.8</v>
      </c>
      <c r="L403" s="3">
        <v>394</v>
      </c>
      <c r="M403" s="3">
        <v>450</v>
      </c>
      <c r="N403" s="3">
        <v>56</v>
      </c>
      <c r="O403" s="5">
        <f t="shared" si="38"/>
        <v>0.87555555555555553</v>
      </c>
      <c r="P403" s="5">
        <f t="shared" si="39"/>
        <v>0.99086294416243659</v>
      </c>
      <c r="Q403" s="5">
        <f t="shared" si="40"/>
        <v>0.96311475409836067</v>
      </c>
      <c r="R403" s="5">
        <f t="shared" si="41"/>
        <v>0.8355555555555555</v>
      </c>
    </row>
    <row r="404" spans="1:18" x14ac:dyDescent="0.25">
      <c r="A404" s="3">
        <v>400</v>
      </c>
      <c r="B404" s="4">
        <v>46292</v>
      </c>
      <c r="C404" s="3" t="s">
        <v>30</v>
      </c>
      <c r="D404" s="3" t="s">
        <v>19</v>
      </c>
      <c r="E404" s="3" t="s">
        <v>34</v>
      </c>
      <c r="F404" s="3">
        <v>638</v>
      </c>
      <c r="G404" s="3">
        <v>625</v>
      </c>
      <c r="H404" s="3">
        <v>13</v>
      </c>
      <c r="I404" s="5">
        <f t="shared" si="37"/>
        <v>2.037617554858934E-2</v>
      </c>
      <c r="J404" s="6">
        <f t="shared" si="42"/>
        <v>20376.175548589341</v>
      </c>
      <c r="K404" s="7">
        <v>0.53</v>
      </c>
      <c r="L404" s="3">
        <v>417</v>
      </c>
      <c r="M404" s="3">
        <v>450</v>
      </c>
      <c r="N404" s="3">
        <v>33</v>
      </c>
      <c r="O404" s="5">
        <f t="shared" si="38"/>
        <v>0.92666666666666664</v>
      </c>
      <c r="P404" s="5">
        <f t="shared" si="39"/>
        <v>0.81088729016786576</v>
      </c>
      <c r="Q404" s="5">
        <f t="shared" si="40"/>
        <v>0.97962382445141061</v>
      </c>
      <c r="R404" s="5">
        <f t="shared" si="41"/>
        <v>0.73611111111111105</v>
      </c>
    </row>
    <row r="405" spans="1:18" x14ac:dyDescent="0.25">
      <c r="A405" s="3">
        <v>401</v>
      </c>
      <c r="B405" s="4">
        <v>46292</v>
      </c>
      <c r="C405" s="3" t="s">
        <v>30</v>
      </c>
      <c r="D405" s="3" t="s">
        <v>21</v>
      </c>
      <c r="E405" s="3" t="s">
        <v>26</v>
      </c>
      <c r="F405" s="3">
        <v>210</v>
      </c>
      <c r="G405" s="3">
        <v>204</v>
      </c>
      <c r="H405" s="3">
        <v>6</v>
      </c>
      <c r="I405" s="5">
        <f t="shared" si="37"/>
        <v>2.8571428571428571E-2</v>
      </c>
      <c r="J405" s="6">
        <f t="shared" si="42"/>
        <v>28571.428571428569</v>
      </c>
      <c r="K405" s="7">
        <v>1.61</v>
      </c>
      <c r="L405" s="3">
        <v>421</v>
      </c>
      <c r="M405" s="3">
        <v>450</v>
      </c>
      <c r="N405" s="3">
        <v>29</v>
      </c>
      <c r="O405" s="5">
        <f t="shared" si="38"/>
        <v>0.93555555555555558</v>
      </c>
      <c r="P405" s="5">
        <f t="shared" si="39"/>
        <v>0.80308788598574832</v>
      </c>
      <c r="Q405" s="5">
        <f t="shared" si="40"/>
        <v>0.97142857142857142</v>
      </c>
      <c r="R405" s="5">
        <f t="shared" si="41"/>
        <v>0.72986666666666677</v>
      </c>
    </row>
    <row r="406" spans="1:18" x14ac:dyDescent="0.25">
      <c r="A406" s="3">
        <v>402</v>
      </c>
      <c r="B406" s="4">
        <v>46292</v>
      </c>
      <c r="C406" s="3" t="s">
        <v>30</v>
      </c>
      <c r="D406" s="3" t="s">
        <v>23</v>
      </c>
      <c r="E406" s="3" t="s">
        <v>32</v>
      </c>
      <c r="F406" s="3">
        <v>643</v>
      </c>
      <c r="G406" s="3">
        <v>616</v>
      </c>
      <c r="H406" s="3">
        <v>27</v>
      </c>
      <c r="I406" s="5">
        <f t="shared" si="37"/>
        <v>4.1990668740279936E-2</v>
      </c>
      <c r="J406" s="6">
        <f t="shared" si="42"/>
        <v>41990.668740279936</v>
      </c>
      <c r="K406" s="7">
        <v>0.57999999999999996</v>
      </c>
      <c r="L406" s="3">
        <v>392</v>
      </c>
      <c r="M406" s="3">
        <v>450</v>
      </c>
      <c r="N406" s="3">
        <v>58</v>
      </c>
      <c r="O406" s="5">
        <f t="shared" si="38"/>
        <v>0.87111111111111106</v>
      </c>
      <c r="P406" s="5">
        <f t="shared" si="39"/>
        <v>0.95137755102040811</v>
      </c>
      <c r="Q406" s="5">
        <f t="shared" si="40"/>
        <v>0.9580093312597201</v>
      </c>
      <c r="R406" s="5">
        <f t="shared" si="41"/>
        <v>0.79395555555555553</v>
      </c>
    </row>
    <row r="407" spans="1:18" x14ac:dyDescent="0.25">
      <c r="A407" s="3">
        <v>403</v>
      </c>
      <c r="B407" s="4">
        <v>46292</v>
      </c>
      <c r="C407" s="3" t="s">
        <v>33</v>
      </c>
      <c r="D407" s="3" t="s">
        <v>19</v>
      </c>
      <c r="E407" s="3" t="s">
        <v>35</v>
      </c>
      <c r="F407" s="3">
        <v>399</v>
      </c>
      <c r="G407" s="3">
        <v>391</v>
      </c>
      <c r="H407" s="3">
        <v>8</v>
      </c>
      <c r="I407" s="5">
        <f t="shared" si="37"/>
        <v>2.0050125313283207E-2</v>
      </c>
      <c r="J407" s="6">
        <f t="shared" si="42"/>
        <v>20050.125313283206</v>
      </c>
      <c r="K407" s="7">
        <v>1.01</v>
      </c>
      <c r="L407" s="3">
        <v>436</v>
      </c>
      <c r="M407" s="3">
        <v>450</v>
      </c>
      <c r="N407" s="3">
        <v>14</v>
      </c>
      <c r="O407" s="5">
        <f t="shared" si="38"/>
        <v>0.96888888888888891</v>
      </c>
      <c r="P407" s="5">
        <f t="shared" si="39"/>
        <v>0.92428899082568805</v>
      </c>
      <c r="Q407" s="5">
        <f t="shared" si="40"/>
        <v>0.97994987468671679</v>
      </c>
      <c r="R407" s="5">
        <f t="shared" si="41"/>
        <v>0.87757777777777779</v>
      </c>
    </row>
    <row r="408" spans="1:18" x14ac:dyDescent="0.25">
      <c r="A408" s="3">
        <v>404</v>
      </c>
      <c r="B408" s="4">
        <v>46292</v>
      </c>
      <c r="C408" s="3" t="s">
        <v>33</v>
      </c>
      <c r="D408" s="3" t="s">
        <v>21</v>
      </c>
      <c r="E408" s="3" t="s">
        <v>34</v>
      </c>
      <c r="F408" s="3">
        <v>248</v>
      </c>
      <c r="G408" s="3">
        <v>238</v>
      </c>
      <c r="H408" s="3">
        <v>10</v>
      </c>
      <c r="I408" s="5">
        <f t="shared" si="37"/>
        <v>4.0322580645161289E-2</v>
      </c>
      <c r="J408" s="6">
        <f t="shared" si="42"/>
        <v>40322.580645161288</v>
      </c>
      <c r="K408" s="7">
        <v>1.53</v>
      </c>
      <c r="L408" s="3">
        <v>440</v>
      </c>
      <c r="M408" s="3">
        <v>450</v>
      </c>
      <c r="N408" s="3">
        <v>10</v>
      </c>
      <c r="O408" s="5">
        <f t="shared" si="38"/>
        <v>0.97777777777777775</v>
      </c>
      <c r="P408" s="5">
        <f t="shared" si="39"/>
        <v>0.86236363636363633</v>
      </c>
      <c r="Q408" s="5">
        <f t="shared" si="40"/>
        <v>0.95967741935483875</v>
      </c>
      <c r="R408" s="5">
        <f t="shared" si="41"/>
        <v>0.80920000000000003</v>
      </c>
    </row>
    <row r="409" spans="1:18" x14ac:dyDescent="0.25">
      <c r="A409" s="3">
        <v>405</v>
      </c>
      <c r="B409" s="4">
        <v>46292</v>
      </c>
      <c r="C409" s="3" t="s">
        <v>33</v>
      </c>
      <c r="D409" s="3" t="s">
        <v>23</v>
      </c>
      <c r="E409" s="3" t="s">
        <v>32</v>
      </c>
      <c r="F409" s="3">
        <v>461</v>
      </c>
      <c r="G409" s="3">
        <v>459</v>
      </c>
      <c r="H409" s="3">
        <v>2</v>
      </c>
      <c r="I409" s="5">
        <f t="shared" si="37"/>
        <v>4.3383947939262474E-3</v>
      </c>
      <c r="J409" s="6">
        <f t="shared" si="42"/>
        <v>4338.3947939262471</v>
      </c>
      <c r="K409" s="7">
        <v>0.75</v>
      </c>
      <c r="L409" s="3">
        <v>404</v>
      </c>
      <c r="M409" s="3">
        <v>450</v>
      </c>
      <c r="N409" s="3">
        <v>46</v>
      </c>
      <c r="O409" s="5">
        <f t="shared" si="38"/>
        <v>0.89777777777777779</v>
      </c>
      <c r="P409" s="5">
        <f t="shared" si="39"/>
        <v>0.85581683168316836</v>
      </c>
      <c r="Q409" s="5">
        <f t="shared" si="40"/>
        <v>0.99566160520607372</v>
      </c>
      <c r="R409" s="5">
        <f t="shared" si="41"/>
        <v>0.76500000000000001</v>
      </c>
    </row>
    <row r="410" spans="1:18" x14ac:dyDescent="0.25">
      <c r="A410" s="3">
        <v>406</v>
      </c>
      <c r="B410" s="4">
        <v>46293</v>
      </c>
      <c r="C410" s="3" t="s">
        <v>18</v>
      </c>
      <c r="D410" s="3" t="s">
        <v>19</v>
      </c>
      <c r="E410" s="3" t="s">
        <v>32</v>
      </c>
      <c r="F410" s="3">
        <v>542</v>
      </c>
      <c r="G410" s="3">
        <v>537</v>
      </c>
      <c r="H410" s="3">
        <v>5</v>
      </c>
      <c r="I410" s="5">
        <f t="shared" si="37"/>
        <v>9.2250922509225092E-3</v>
      </c>
      <c r="J410" s="6">
        <f t="shared" si="42"/>
        <v>9225.0922509225093</v>
      </c>
      <c r="K410" s="7">
        <v>0.76</v>
      </c>
      <c r="L410" s="3">
        <v>436</v>
      </c>
      <c r="M410" s="3">
        <v>450</v>
      </c>
      <c r="N410" s="3">
        <v>14</v>
      </c>
      <c r="O410" s="5">
        <f t="shared" si="38"/>
        <v>0.96888888888888891</v>
      </c>
      <c r="P410" s="5">
        <f t="shared" si="39"/>
        <v>0.94477064220183493</v>
      </c>
      <c r="Q410" s="5">
        <f t="shared" si="40"/>
        <v>0.9907749077490775</v>
      </c>
      <c r="R410" s="5">
        <f t="shared" si="41"/>
        <v>0.90693333333333337</v>
      </c>
    </row>
    <row r="411" spans="1:18" x14ac:dyDescent="0.25">
      <c r="A411" s="3">
        <v>407</v>
      </c>
      <c r="B411" s="4">
        <v>46293</v>
      </c>
      <c r="C411" s="3" t="s">
        <v>18</v>
      </c>
      <c r="D411" s="3" t="s">
        <v>21</v>
      </c>
      <c r="E411" s="3" t="s">
        <v>20</v>
      </c>
      <c r="F411" s="3">
        <v>659</v>
      </c>
      <c r="G411" s="3">
        <v>633</v>
      </c>
      <c r="H411" s="3">
        <v>26</v>
      </c>
      <c r="I411" s="5">
        <f t="shared" si="37"/>
        <v>3.9453717754172987E-2</v>
      </c>
      <c r="J411" s="6">
        <f t="shared" si="42"/>
        <v>39453.717754172991</v>
      </c>
      <c r="K411" s="7">
        <v>0.51</v>
      </c>
      <c r="L411" s="3">
        <v>421</v>
      </c>
      <c r="M411" s="3">
        <v>450</v>
      </c>
      <c r="N411" s="3">
        <v>29</v>
      </c>
      <c r="O411" s="5">
        <f t="shared" si="38"/>
        <v>0.93555555555555558</v>
      </c>
      <c r="P411" s="5">
        <f t="shared" si="39"/>
        <v>0.79831353919239911</v>
      </c>
      <c r="Q411" s="5">
        <f t="shared" si="40"/>
        <v>0.96054628224582705</v>
      </c>
      <c r="R411" s="5">
        <f t="shared" si="41"/>
        <v>0.71740000000000015</v>
      </c>
    </row>
    <row r="412" spans="1:18" x14ac:dyDescent="0.25">
      <c r="A412" s="3">
        <v>408</v>
      </c>
      <c r="B412" s="4">
        <v>46293</v>
      </c>
      <c r="C412" s="3" t="s">
        <v>18</v>
      </c>
      <c r="D412" s="3" t="s">
        <v>23</v>
      </c>
      <c r="E412" s="3" t="s">
        <v>35</v>
      </c>
      <c r="F412" s="3">
        <v>201</v>
      </c>
      <c r="G412" s="3">
        <v>194</v>
      </c>
      <c r="H412" s="3">
        <v>7</v>
      </c>
      <c r="I412" s="5">
        <f t="shared" si="37"/>
        <v>3.482587064676617E-2</v>
      </c>
      <c r="J412" s="6">
        <f t="shared" si="42"/>
        <v>34825.870646766169</v>
      </c>
      <c r="K412" s="7">
        <v>1.72</v>
      </c>
      <c r="L412" s="3">
        <v>437</v>
      </c>
      <c r="M412" s="3">
        <v>450</v>
      </c>
      <c r="N412" s="3">
        <v>13</v>
      </c>
      <c r="O412" s="5">
        <f t="shared" si="38"/>
        <v>0.97111111111111115</v>
      </c>
      <c r="P412" s="5">
        <f t="shared" si="39"/>
        <v>0.79112128146453087</v>
      </c>
      <c r="Q412" s="5">
        <f t="shared" si="40"/>
        <v>0.96517412935323388</v>
      </c>
      <c r="R412" s="5">
        <f t="shared" si="41"/>
        <v>0.74151111111111112</v>
      </c>
    </row>
    <row r="413" spans="1:18" x14ac:dyDescent="0.25">
      <c r="A413" s="3">
        <v>409</v>
      </c>
      <c r="B413" s="4">
        <v>46293</v>
      </c>
      <c r="C413" s="3" t="s">
        <v>25</v>
      </c>
      <c r="D413" s="3" t="s">
        <v>19</v>
      </c>
      <c r="E413" s="3" t="s">
        <v>32</v>
      </c>
      <c r="F413" s="3">
        <v>242</v>
      </c>
      <c r="G413" s="3">
        <v>238</v>
      </c>
      <c r="H413" s="3">
        <v>4</v>
      </c>
      <c r="I413" s="5">
        <f t="shared" si="37"/>
        <v>1.6528925619834711E-2</v>
      </c>
      <c r="J413" s="6">
        <f t="shared" si="42"/>
        <v>16528.92561983471</v>
      </c>
      <c r="K413" s="7">
        <v>1.42</v>
      </c>
      <c r="L413" s="3">
        <v>398</v>
      </c>
      <c r="M413" s="3">
        <v>450</v>
      </c>
      <c r="N413" s="3">
        <v>52</v>
      </c>
      <c r="O413" s="5">
        <f t="shared" si="38"/>
        <v>0.88444444444444448</v>
      </c>
      <c r="P413" s="5">
        <f t="shared" si="39"/>
        <v>0.86341708542713569</v>
      </c>
      <c r="Q413" s="5">
        <f t="shared" si="40"/>
        <v>0.98347107438016534</v>
      </c>
      <c r="R413" s="5">
        <f t="shared" si="41"/>
        <v>0.75102222222222226</v>
      </c>
    </row>
    <row r="414" spans="1:18" x14ac:dyDescent="0.25">
      <c r="A414" s="3">
        <v>410</v>
      </c>
      <c r="B414" s="4">
        <v>46293</v>
      </c>
      <c r="C414" s="3" t="s">
        <v>25</v>
      </c>
      <c r="D414" s="3" t="s">
        <v>21</v>
      </c>
      <c r="E414" s="3" t="s">
        <v>35</v>
      </c>
      <c r="F414" s="3">
        <v>378</v>
      </c>
      <c r="G414" s="3">
        <v>365</v>
      </c>
      <c r="H414" s="3">
        <v>13</v>
      </c>
      <c r="I414" s="5">
        <f t="shared" si="37"/>
        <v>3.439153439153439E-2</v>
      </c>
      <c r="J414" s="6">
        <f t="shared" si="42"/>
        <v>34391.534391534391</v>
      </c>
      <c r="K414" s="7">
        <v>1.01</v>
      </c>
      <c r="L414" s="3">
        <v>385</v>
      </c>
      <c r="M414" s="3">
        <v>450</v>
      </c>
      <c r="N414" s="3">
        <v>65</v>
      </c>
      <c r="O414" s="5">
        <f t="shared" si="38"/>
        <v>0.85555555555555551</v>
      </c>
      <c r="P414" s="5">
        <f t="shared" si="39"/>
        <v>0.99163636363636376</v>
      </c>
      <c r="Q414" s="5">
        <f t="shared" si="40"/>
        <v>0.96560846560846558</v>
      </c>
      <c r="R414" s="5">
        <f t="shared" si="41"/>
        <v>0.8192222222222223</v>
      </c>
    </row>
    <row r="415" spans="1:18" x14ac:dyDescent="0.25">
      <c r="A415" s="3">
        <v>411</v>
      </c>
      <c r="B415" s="4">
        <v>46293</v>
      </c>
      <c r="C415" s="3" t="s">
        <v>25</v>
      </c>
      <c r="D415" s="3" t="s">
        <v>23</v>
      </c>
      <c r="E415" s="3" t="s">
        <v>24</v>
      </c>
      <c r="F415" s="3">
        <v>374</v>
      </c>
      <c r="G415" s="3">
        <v>359</v>
      </c>
      <c r="H415" s="3">
        <v>15</v>
      </c>
      <c r="I415" s="5">
        <f t="shared" si="37"/>
        <v>4.0106951871657755E-2</v>
      </c>
      <c r="J415" s="6">
        <f t="shared" si="42"/>
        <v>40106.951871657751</v>
      </c>
      <c r="K415" s="7">
        <v>1.03</v>
      </c>
      <c r="L415" s="3">
        <v>401</v>
      </c>
      <c r="M415" s="3">
        <v>450</v>
      </c>
      <c r="N415" s="3">
        <v>49</v>
      </c>
      <c r="O415" s="5">
        <f t="shared" si="38"/>
        <v>0.89111111111111108</v>
      </c>
      <c r="P415" s="5">
        <f t="shared" si="39"/>
        <v>0.96064837905236911</v>
      </c>
      <c r="Q415" s="5">
        <f t="shared" si="40"/>
        <v>0.9598930481283422</v>
      </c>
      <c r="R415" s="5">
        <f t="shared" si="41"/>
        <v>0.82171111111111106</v>
      </c>
    </row>
    <row r="416" spans="1:18" x14ac:dyDescent="0.25">
      <c r="A416" s="3">
        <v>412</v>
      </c>
      <c r="B416" s="4">
        <v>46293</v>
      </c>
      <c r="C416" s="3" t="s">
        <v>28</v>
      </c>
      <c r="D416" s="3" t="s">
        <v>19</v>
      </c>
      <c r="E416" s="3" t="s">
        <v>35</v>
      </c>
      <c r="F416" s="3">
        <v>438</v>
      </c>
      <c r="G416" s="3">
        <v>429</v>
      </c>
      <c r="H416" s="3">
        <v>9</v>
      </c>
      <c r="I416" s="5">
        <f t="shared" si="37"/>
        <v>2.0547945205479451E-2</v>
      </c>
      <c r="J416" s="6">
        <f t="shared" si="42"/>
        <v>20547.945205479449</v>
      </c>
      <c r="K416" s="7">
        <v>0.93</v>
      </c>
      <c r="L416" s="3">
        <v>431</v>
      </c>
      <c r="M416" s="3">
        <v>450</v>
      </c>
      <c r="N416" s="3">
        <v>19</v>
      </c>
      <c r="O416" s="5">
        <f t="shared" si="38"/>
        <v>0.95777777777777773</v>
      </c>
      <c r="P416" s="5">
        <f t="shared" si="39"/>
        <v>0.94510440835266829</v>
      </c>
      <c r="Q416" s="5">
        <f t="shared" si="40"/>
        <v>0.97945205479452058</v>
      </c>
      <c r="R416" s="5">
        <f t="shared" si="41"/>
        <v>0.88660000000000005</v>
      </c>
    </row>
    <row r="417" spans="1:18" x14ac:dyDescent="0.25">
      <c r="A417" s="3">
        <v>413</v>
      </c>
      <c r="B417" s="4">
        <v>46293</v>
      </c>
      <c r="C417" s="3" t="s">
        <v>28</v>
      </c>
      <c r="D417" s="3" t="s">
        <v>21</v>
      </c>
      <c r="E417" s="3" t="s">
        <v>27</v>
      </c>
      <c r="F417" s="3">
        <v>403</v>
      </c>
      <c r="G417" s="3">
        <v>385</v>
      </c>
      <c r="H417" s="3">
        <v>18</v>
      </c>
      <c r="I417" s="5">
        <f t="shared" si="37"/>
        <v>4.4665012406947889E-2</v>
      </c>
      <c r="J417" s="6">
        <f t="shared" si="42"/>
        <v>44665.012406947892</v>
      </c>
      <c r="K417" s="7">
        <v>1.04</v>
      </c>
      <c r="L417" s="3">
        <v>431</v>
      </c>
      <c r="M417" s="3">
        <v>450</v>
      </c>
      <c r="N417" s="3">
        <v>19</v>
      </c>
      <c r="O417" s="5">
        <f t="shared" si="38"/>
        <v>0.95777777777777773</v>
      </c>
      <c r="P417" s="5">
        <f t="shared" si="39"/>
        <v>0.97243619489559163</v>
      </c>
      <c r="Q417" s="5">
        <f t="shared" si="40"/>
        <v>0.95533498759305213</v>
      </c>
      <c r="R417" s="5">
        <f t="shared" si="41"/>
        <v>0.88977777777777778</v>
      </c>
    </row>
    <row r="418" spans="1:18" x14ac:dyDescent="0.25">
      <c r="A418" s="3">
        <v>414</v>
      </c>
      <c r="B418" s="4">
        <v>46293</v>
      </c>
      <c r="C418" s="3" t="s">
        <v>28</v>
      </c>
      <c r="D418" s="3" t="s">
        <v>23</v>
      </c>
      <c r="E418" s="3" t="s">
        <v>34</v>
      </c>
      <c r="F418" s="3">
        <v>361</v>
      </c>
      <c r="G418" s="3">
        <v>354</v>
      </c>
      <c r="H418" s="3">
        <v>7</v>
      </c>
      <c r="I418" s="5">
        <f t="shared" si="37"/>
        <v>1.9390581717451522E-2</v>
      </c>
      <c r="J418" s="6">
        <f t="shared" si="42"/>
        <v>19390.581717451521</v>
      </c>
      <c r="K418" s="7">
        <v>0.99</v>
      </c>
      <c r="L418" s="3">
        <v>413</v>
      </c>
      <c r="M418" s="3">
        <v>450</v>
      </c>
      <c r="N418" s="3">
        <v>37</v>
      </c>
      <c r="O418" s="5">
        <f t="shared" si="38"/>
        <v>0.9177777777777778</v>
      </c>
      <c r="P418" s="5">
        <f t="shared" si="39"/>
        <v>0.8653510895883777</v>
      </c>
      <c r="Q418" s="5">
        <f t="shared" si="40"/>
        <v>0.98060941828254844</v>
      </c>
      <c r="R418" s="5">
        <f t="shared" si="41"/>
        <v>0.77879999999999994</v>
      </c>
    </row>
    <row r="419" spans="1:18" x14ac:dyDescent="0.25">
      <c r="A419" s="3">
        <v>415</v>
      </c>
      <c r="B419" s="4">
        <v>46293</v>
      </c>
      <c r="C419" s="3" t="s">
        <v>30</v>
      </c>
      <c r="D419" s="3" t="s">
        <v>19</v>
      </c>
      <c r="E419" s="3" t="s">
        <v>20</v>
      </c>
      <c r="F419" s="3">
        <v>584</v>
      </c>
      <c r="G419" s="3">
        <v>572</v>
      </c>
      <c r="H419" s="3">
        <v>12</v>
      </c>
      <c r="I419" s="5">
        <f t="shared" si="37"/>
        <v>2.0547945205479451E-2</v>
      </c>
      <c r="J419" s="6">
        <f t="shared" si="42"/>
        <v>20547.945205479449</v>
      </c>
      <c r="K419" s="7">
        <v>0.54</v>
      </c>
      <c r="L419" s="3">
        <v>394</v>
      </c>
      <c r="M419" s="3">
        <v>450</v>
      </c>
      <c r="N419" s="3">
        <v>56</v>
      </c>
      <c r="O419" s="5">
        <f t="shared" si="38"/>
        <v>0.87555555555555553</v>
      </c>
      <c r="P419" s="5">
        <f t="shared" si="39"/>
        <v>0.8004060913705584</v>
      </c>
      <c r="Q419" s="5">
        <f t="shared" si="40"/>
        <v>0.97945205479452058</v>
      </c>
      <c r="R419" s="5">
        <f t="shared" si="41"/>
        <v>0.68640000000000001</v>
      </c>
    </row>
    <row r="420" spans="1:18" x14ac:dyDescent="0.25">
      <c r="A420" s="3">
        <v>416</v>
      </c>
      <c r="B420" s="4">
        <v>46293</v>
      </c>
      <c r="C420" s="3" t="s">
        <v>30</v>
      </c>
      <c r="D420" s="3" t="s">
        <v>21</v>
      </c>
      <c r="E420" s="3" t="s">
        <v>20</v>
      </c>
      <c r="F420" s="3">
        <v>627</v>
      </c>
      <c r="G420" s="3">
        <v>604</v>
      </c>
      <c r="H420" s="3">
        <v>23</v>
      </c>
      <c r="I420" s="5">
        <f t="shared" si="37"/>
        <v>3.6682615629984053E-2</v>
      </c>
      <c r="J420" s="6">
        <f t="shared" si="42"/>
        <v>36682.615629984051</v>
      </c>
      <c r="K420" s="7">
        <v>0.59</v>
      </c>
      <c r="L420" s="3">
        <v>427</v>
      </c>
      <c r="M420" s="3">
        <v>450</v>
      </c>
      <c r="N420" s="3">
        <v>23</v>
      </c>
      <c r="O420" s="5">
        <f t="shared" si="38"/>
        <v>0.94888888888888889</v>
      </c>
      <c r="P420" s="5">
        <f t="shared" si="39"/>
        <v>0.86634660421545673</v>
      </c>
      <c r="Q420" s="5">
        <f t="shared" si="40"/>
        <v>0.96331738437001591</v>
      </c>
      <c r="R420" s="5">
        <f t="shared" si="41"/>
        <v>0.79191111111111112</v>
      </c>
    </row>
    <row r="421" spans="1:18" x14ac:dyDescent="0.25">
      <c r="A421" s="3">
        <v>417</v>
      </c>
      <c r="B421" s="4">
        <v>46293</v>
      </c>
      <c r="C421" s="3" t="s">
        <v>30</v>
      </c>
      <c r="D421" s="3" t="s">
        <v>23</v>
      </c>
      <c r="E421" s="3" t="s">
        <v>20</v>
      </c>
      <c r="F421" s="3">
        <v>607</v>
      </c>
      <c r="G421" s="3">
        <v>591</v>
      </c>
      <c r="H421" s="3">
        <v>16</v>
      </c>
      <c r="I421" s="5">
        <f t="shared" si="37"/>
        <v>2.6359143327841845E-2</v>
      </c>
      <c r="J421" s="6">
        <f t="shared" si="42"/>
        <v>26359.143327841844</v>
      </c>
      <c r="K421" s="7">
        <v>0.71</v>
      </c>
      <c r="L421" s="3">
        <v>429</v>
      </c>
      <c r="M421" s="3">
        <v>450</v>
      </c>
      <c r="N421" s="3">
        <v>21</v>
      </c>
      <c r="O421" s="5">
        <f t="shared" si="38"/>
        <v>0.95333333333333337</v>
      </c>
      <c r="P421" s="5">
        <f t="shared" si="39"/>
        <v>1.0045920745920744</v>
      </c>
      <c r="Q421" s="5">
        <f t="shared" si="40"/>
        <v>0.97364085667215816</v>
      </c>
      <c r="R421" s="5">
        <f t="shared" si="41"/>
        <v>0.93246666666666655</v>
      </c>
    </row>
    <row r="422" spans="1:18" x14ac:dyDescent="0.25">
      <c r="A422" s="3">
        <v>418</v>
      </c>
      <c r="B422" s="4">
        <v>46293</v>
      </c>
      <c r="C422" s="3" t="s">
        <v>33</v>
      </c>
      <c r="D422" s="3" t="s">
        <v>19</v>
      </c>
      <c r="E422" s="3" t="s">
        <v>20</v>
      </c>
      <c r="F422" s="3">
        <v>560</v>
      </c>
      <c r="G422" s="3">
        <v>544</v>
      </c>
      <c r="H422" s="3">
        <v>16</v>
      </c>
      <c r="I422" s="5">
        <f t="shared" si="37"/>
        <v>2.8571428571428571E-2</v>
      </c>
      <c r="J422" s="6">
        <f t="shared" si="42"/>
        <v>28571.428571428569</v>
      </c>
      <c r="K422" s="7">
        <v>0.63</v>
      </c>
      <c r="L422" s="3">
        <v>408</v>
      </c>
      <c r="M422" s="3">
        <v>450</v>
      </c>
      <c r="N422" s="3">
        <v>42</v>
      </c>
      <c r="O422" s="5">
        <f t="shared" si="38"/>
        <v>0.90666666666666662</v>
      </c>
      <c r="P422" s="5">
        <f t="shared" si="39"/>
        <v>0.86470588235294121</v>
      </c>
      <c r="Q422" s="5">
        <f t="shared" si="40"/>
        <v>0.97142857142857142</v>
      </c>
      <c r="R422" s="5">
        <f t="shared" si="41"/>
        <v>0.76160000000000005</v>
      </c>
    </row>
    <row r="423" spans="1:18" x14ac:dyDescent="0.25">
      <c r="A423" s="3">
        <v>419</v>
      </c>
      <c r="B423" s="4">
        <v>46293</v>
      </c>
      <c r="C423" s="3" t="s">
        <v>33</v>
      </c>
      <c r="D423" s="3" t="s">
        <v>21</v>
      </c>
      <c r="E423" s="3" t="s">
        <v>32</v>
      </c>
      <c r="F423" s="3">
        <v>350</v>
      </c>
      <c r="G423" s="3">
        <v>341</v>
      </c>
      <c r="H423" s="3">
        <v>9</v>
      </c>
      <c r="I423" s="5">
        <f t="shared" si="37"/>
        <v>2.5714285714285714E-2</v>
      </c>
      <c r="J423" s="6">
        <f t="shared" si="42"/>
        <v>25714.285714285714</v>
      </c>
      <c r="K423" s="7">
        <v>1.08</v>
      </c>
      <c r="L423" s="3">
        <v>424</v>
      </c>
      <c r="M423" s="3">
        <v>450</v>
      </c>
      <c r="N423" s="3">
        <v>26</v>
      </c>
      <c r="O423" s="5">
        <f t="shared" si="38"/>
        <v>0.94222222222222218</v>
      </c>
      <c r="P423" s="5">
        <f t="shared" si="39"/>
        <v>0.89150943396226412</v>
      </c>
      <c r="Q423" s="5">
        <f t="shared" si="40"/>
        <v>0.97428571428571431</v>
      </c>
      <c r="R423" s="5">
        <f t="shared" si="41"/>
        <v>0.81840000000000002</v>
      </c>
    </row>
    <row r="424" spans="1:18" x14ac:dyDescent="0.25">
      <c r="A424" s="3">
        <v>420</v>
      </c>
      <c r="B424" s="4">
        <v>46293</v>
      </c>
      <c r="C424" s="3" t="s">
        <v>33</v>
      </c>
      <c r="D424" s="3" t="s">
        <v>23</v>
      </c>
      <c r="E424" s="3" t="s">
        <v>20</v>
      </c>
      <c r="F424" s="3">
        <v>549</v>
      </c>
      <c r="G424" s="3">
        <v>546</v>
      </c>
      <c r="H424" s="3">
        <v>3</v>
      </c>
      <c r="I424" s="5">
        <f t="shared" si="37"/>
        <v>5.4644808743169399E-3</v>
      </c>
      <c r="J424" s="6">
        <f t="shared" si="42"/>
        <v>5464.4808743169397</v>
      </c>
      <c r="K424" s="7">
        <v>0.74</v>
      </c>
      <c r="L424" s="3">
        <v>436</v>
      </c>
      <c r="M424" s="3">
        <v>450</v>
      </c>
      <c r="N424" s="3">
        <v>14</v>
      </c>
      <c r="O424" s="5">
        <f t="shared" si="38"/>
        <v>0.96888888888888891</v>
      </c>
      <c r="P424" s="5">
        <f t="shared" si="39"/>
        <v>0.931788990825688</v>
      </c>
      <c r="Q424" s="5">
        <f t="shared" si="40"/>
        <v>0.99453551912568305</v>
      </c>
      <c r="R424" s="5">
        <f t="shared" si="41"/>
        <v>0.89786666666666659</v>
      </c>
    </row>
    <row r="425" spans="1:18" x14ac:dyDescent="0.25">
      <c r="A425" s="3">
        <v>421</v>
      </c>
      <c r="B425" s="4">
        <v>46294</v>
      </c>
      <c r="C425" s="3" t="s">
        <v>18</v>
      </c>
      <c r="D425" s="3" t="s">
        <v>19</v>
      </c>
      <c r="E425" s="3" t="s">
        <v>35</v>
      </c>
      <c r="F425" s="3">
        <v>404</v>
      </c>
      <c r="G425" s="3">
        <v>393</v>
      </c>
      <c r="H425" s="3">
        <v>11</v>
      </c>
      <c r="I425" s="5">
        <f t="shared" si="37"/>
        <v>2.7227722772277228E-2</v>
      </c>
      <c r="J425" s="6">
        <f t="shared" si="42"/>
        <v>27227.722772277226</v>
      </c>
      <c r="K425" s="7">
        <v>0.84</v>
      </c>
      <c r="L425" s="3">
        <v>402</v>
      </c>
      <c r="M425" s="3">
        <v>450</v>
      </c>
      <c r="N425" s="3">
        <v>48</v>
      </c>
      <c r="O425" s="5">
        <f t="shared" si="38"/>
        <v>0.89333333333333331</v>
      </c>
      <c r="P425" s="5">
        <f t="shared" si="39"/>
        <v>0.84417910447761202</v>
      </c>
      <c r="Q425" s="5">
        <f t="shared" si="40"/>
        <v>0.97277227722772275</v>
      </c>
      <c r="R425" s="5">
        <f t="shared" si="41"/>
        <v>0.73360000000000003</v>
      </c>
    </row>
    <row r="426" spans="1:18" x14ac:dyDescent="0.25">
      <c r="A426" s="3">
        <v>422</v>
      </c>
      <c r="B426" s="4">
        <v>46294</v>
      </c>
      <c r="C426" s="3" t="s">
        <v>18</v>
      </c>
      <c r="D426" s="3" t="s">
        <v>21</v>
      </c>
      <c r="E426" s="3" t="s">
        <v>27</v>
      </c>
      <c r="F426" s="3">
        <v>361</v>
      </c>
      <c r="G426" s="3">
        <v>346</v>
      </c>
      <c r="H426" s="3">
        <v>15</v>
      </c>
      <c r="I426" s="5">
        <f t="shared" si="37"/>
        <v>4.1551246537396121E-2</v>
      </c>
      <c r="J426" s="6">
        <f t="shared" si="42"/>
        <v>41551.246537396124</v>
      </c>
      <c r="K426" s="7">
        <v>0.94</v>
      </c>
      <c r="L426" s="3">
        <v>396</v>
      </c>
      <c r="M426" s="3">
        <v>450</v>
      </c>
      <c r="N426" s="3">
        <v>54</v>
      </c>
      <c r="O426" s="5">
        <f t="shared" si="38"/>
        <v>0.88</v>
      </c>
      <c r="P426" s="5">
        <f t="shared" si="39"/>
        <v>0.85691919191919186</v>
      </c>
      <c r="Q426" s="5">
        <f t="shared" si="40"/>
        <v>0.95844875346260383</v>
      </c>
      <c r="R426" s="5">
        <f t="shared" si="41"/>
        <v>0.72275555555555548</v>
      </c>
    </row>
    <row r="427" spans="1:18" x14ac:dyDescent="0.25">
      <c r="A427" s="3">
        <v>423</v>
      </c>
      <c r="B427" s="4">
        <v>46294</v>
      </c>
      <c r="C427" s="3" t="s">
        <v>18</v>
      </c>
      <c r="D427" s="3" t="s">
        <v>23</v>
      </c>
      <c r="E427" s="3" t="s">
        <v>29</v>
      </c>
      <c r="F427" s="3">
        <v>482</v>
      </c>
      <c r="G427" s="3">
        <v>465</v>
      </c>
      <c r="H427" s="3">
        <v>17</v>
      </c>
      <c r="I427" s="5">
        <f t="shared" si="37"/>
        <v>3.5269709543568464E-2</v>
      </c>
      <c r="J427" s="6">
        <f t="shared" si="42"/>
        <v>35269.709543568468</v>
      </c>
      <c r="K427" s="7">
        <v>0.85</v>
      </c>
      <c r="L427" s="3">
        <v>407</v>
      </c>
      <c r="M427" s="3">
        <v>450</v>
      </c>
      <c r="N427" s="3">
        <v>43</v>
      </c>
      <c r="O427" s="5">
        <f t="shared" si="38"/>
        <v>0.9044444444444445</v>
      </c>
      <c r="P427" s="5">
        <f t="shared" si="39"/>
        <v>1.0066339066339065</v>
      </c>
      <c r="Q427" s="5">
        <f t="shared" si="40"/>
        <v>0.96473029045643155</v>
      </c>
      <c r="R427" s="5">
        <f t="shared" si="41"/>
        <v>0.8783333333333333</v>
      </c>
    </row>
    <row r="428" spans="1:18" x14ac:dyDescent="0.25">
      <c r="A428" s="3">
        <v>424</v>
      </c>
      <c r="B428" s="4">
        <v>46294</v>
      </c>
      <c r="C428" s="3" t="s">
        <v>25</v>
      </c>
      <c r="D428" s="3" t="s">
        <v>19</v>
      </c>
      <c r="E428" s="3" t="s">
        <v>22</v>
      </c>
      <c r="F428" s="3">
        <v>254</v>
      </c>
      <c r="G428" s="3">
        <v>252</v>
      </c>
      <c r="H428" s="3">
        <v>2</v>
      </c>
      <c r="I428" s="5">
        <f t="shared" si="37"/>
        <v>7.874015748031496E-3</v>
      </c>
      <c r="J428" s="6">
        <f t="shared" si="42"/>
        <v>7874.0157480314956</v>
      </c>
      <c r="K428" s="7">
        <v>1.34</v>
      </c>
      <c r="L428" s="3">
        <v>431</v>
      </c>
      <c r="M428" s="3">
        <v>450</v>
      </c>
      <c r="N428" s="3">
        <v>19</v>
      </c>
      <c r="O428" s="5">
        <f t="shared" si="38"/>
        <v>0.95777777777777773</v>
      </c>
      <c r="P428" s="5">
        <f t="shared" si="39"/>
        <v>0.78969837587006964</v>
      </c>
      <c r="Q428" s="5">
        <f t="shared" si="40"/>
        <v>0.99212598425196852</v>
      </c>
      <c r="R428" s="5">
        <f t="shared" si="41"/>
        <v>0.75040000000000007</v>
      </c>
    </row>
    <row r="429" spans="1:18" x14ac:dyDescent="0.25">
      <c r="A429" s="3">
        <v>425</v>
      </c>
      <c r="B429" s="4">
        <v>46294</v>
      </c>
      <c r="C429" s="3" t="s">
        <v>25</v>
      </c>
      <c r="D429" s="3" t="s">
        <v>21</v>
      </c>
      <c r="E429" s="3" t="s">
        <v>31</v>
      </c>
      <c r="F429" s="3">
        <v>267</v>
      </c>
      <c r="G429" s="3">
        <v>257</v>
      </c>
      <c r="H429" s="3">
        <v>10</v>
      </c>
      <c r="I429" s="5">
        <f t="shared" si="37"/>
        <v>3.7453183520599252E-2</v>
      </c>
      <c r="J429" s="6">
        <f t="shared" si="42"/>
        <v>37453.183520599254</v>
      </c>
      <c r="K429" s="7">
        <v>1.28</v>
      </c>
      <c r="L429" s="3">
        <v>410</v>
      </c>
      <c r="M429" s="3">
        <v>450</v>
      </c>
      <c r="N429" s="3">
        <v>40</v>
      </c>
      <c r="O429" s="5">
        <f t="shared" si="38"/>
        <v>0.91111111111111109</v>
      </c>
      <c r="P429" s="5">
        <f t="shared" si="39"/>
        <v>0.83356097560975606</v>
      </c>
      <c r="Q429" s="5">
        <f t="shared" si="40"/>
        <v>0.96254681647940077</v>
      </c>
      <c r="R429" s="5">
        <f t="shared" si="41"/>
        <v>0.73102222222222224</v>
      </c>
    </row>
    <row r="430" spans="1:18" x14ac:dyDescent="0.25">
      <c r="A430" s="3">
        <v>426</v>
      </c>
      <c r="B430" s="4">
        <v>46294</v>
      </c>
      <c r="C430" s="3" t="s">
        <v>25</v>
      </c>
      <c r="D430" s="3" t="s">
        <v>23</v>
      </c>
      <c r="E430" s="3" t="s">
        <v>29</v>
      </c>
      <c r="F430" s="3">
        <v>454</v>
      </c>
      <c r="G430" s="3">
        <v>452</v>
      </c>
      <c r="H430" s="3">
        <v>2</v>
      </c>
      <c r="I430" s="5">
        <f t="shared" si="37"/>
        <v>4.4052863436123352E-3</v>
      </c>
      <c r="J430" s="6">
        <f t="shared" si="42"/>
        <v>4405.2863436123353</v>
      </c>
      <c r="K430" s="7">
        <v>0.76</v>
      </c>
      <c r="L430" s="3">
        <v>433</v>
      </c>
      <c r="M430" s="3">
        <v>450</v>
      </c>
      <c r="N430" s="3">
        <v>17</v>
      </c>
      <c r="O430" s="5">
        <f t="shared" si="38"/>
        <v>0.9622222222222222</v>
      </c>
      <c r="P430" s="5">
        <f t="shared" si="39"/>
        <v>0.79685912240184764</v>
      </c>
      <c r="Q430" s="5">
        <f t="shared" si="40"/>
        <v>0.99559471365638763</v>
      </c>
      <c r="R430" s="5">
        <f t="shared" si="41"/>
        <v>0.76337777777777782</v>
      </c>
    </row>
    <row r="431" spans="1:18" x14ac:dyDescent="0.25">
      <c r="A431" s="3">
        <v>427</v>
      </c>
      <c r="B431" s="4">
        <v>46294</v>
      </c>
      <c r="C431" s="3" t="s">
        <v>28</v>
      </c>
      <c r="D431" s="3" t="s">
        <v>19</v>
      </c>
      <c r="E431" s="3" t="s">
        <v>29</v>
      </c>
      <c r="F431" s="3">
        <v>412</v>
      </c>
      <c r="G431" s="3">
        <v>409</v>
      </c>
      <c r="H431" s="3">
        <v>3</v>
      </c>
      <c r="I431" s="5">
        <f t="shared" si="37"/>
        <v>7.2815533980582527E-3</v>
      </c>
      <c r="J431" s="6">
        <f t="shared" si="42"/>
        <v>7281.5533980582522</v>
      </c>
      <c r="K431" s="7">
        <v>0.99</v>
      </c>
      <c r="L431" s="3">
        <v>410</v>
      </c>
      <c r="M431" s="3">
        <v>450</v>
      </c>
      <c r="N431" s="3">
        <v>40</v>
      </c>
      <c r="O431" s="5">
        <f t="shared" si="38"/>
        <v>0.91111111111111109</v>
      </c>
      <c r="P431" s="5">
        <f t="shared" si="39"/>
        <v>0.99482926829268292</v>
      </c>
      <c r="Q431" s="5">
        <f t="shared" si="40"/>
        <v>0.99271844660194175</v>
      </c>
      <c r="R431" s="5">
        <f t="shared" si="41"/>
        <v>0.89979999999999993</v>
      </c>
    </row>
    <row r="432" spans="1:18" x14ac:dyDescent="0.25">
      <c r="A432" s="3">
        <v>428</v>
      </c>
      <c r="B432" s="4">
        <v>46294</v>
      </c>
      <c r="C432" s="3" t="s">
        <v>28</v>
      </c>
      <c r="D432" s="3" t="s">
        <v>21</v>
      </c>
      <c r="E432" s="3" t="s">
        <v>35</v>
      </c>
      <c r="F432" s="3">
        <v>581</v>
      </c>
      <c r="G432" s="3">
        <v>570</v>
      </c>
      <c r="H432" s="3">
        <v>11</v>
      </c>
      <c r="I432" s="5">
        <f t="shared" si="37"/>
        <v>1.8932874354561102E-2</v>
      </c>
      <c r="J432" s="6">
        <f t="shared" si="42"/>
        <v>18932.874354561103</v>
      </c>
      <c r="K432" s="7">
        <v>0.64</v>
      </c>
      <c r="L432" s="3">
        <v>408</v>
      </c>
      <c r="M432" s="3">
        <v>450</v>
      </c>
      <c r="N432" s="3">
        <v>42</v>
      </c>
      <c r="O432" s="5">
        <f t="shared" si="38"/>
        <v>0.90666666666666662</v>
      </c>
      <c r="P432" s="5">
        <f t="shared" si="39"/>
        <v>0.91137254901960796</v>
      </c>
      <c r="Q432" s="5">
        <f t="shared" si="40"/>
        <v>0.98106712564543885</v>
      </c>
      <c r="R432" s="5">
        <f t="shared" si="41"/>
        <v>0.81066666666666676</v>
      </c>
    </row>
    <row r="433" spans="1:18" x14ac:dyDescent="0.25">
      <c r="A433" s="3">
        <v>429</v>
      </c>
      <c r="B433" s="4">
        <v>46294</v>
      </c>
      <c r="C433" s="3" t="s">
        <v>28</v>
      </c>
      <c r="D433" s="3" t="s">
        <v>23</v>
      </c>
      <c r="E433" s="3" t="s">
        <v>20</v>
      </c>
      <c r="F433" s="3">
        <v>345</v>
      </c>
      <c r="G433" s="3">
        <v>338</v>
      </c>
      <c r="H433" s="3">
        <v>7</v>
      </c>
      <c r="I433" s="5">
        <f t="shared" si="37"/>
        <v>2.0289855072463767E-2</v>
      </c>
      <c r="J433" s="6">
        <f t="shared" si="42"/>
        <v>20289.855072463768</v>
      </c>
      <c r="K433" s="7">
        <v>1.05</v>
      </c>
      <c r="L433" s="3">
        <v>396</v>
      </c>
      <c r="M433" s="3">
        <v>450</v>
      </c>
      <c r="N433" s="3">
        <v>54</v>
      </c>
      <c r="O433" s="5">
        <f t="shared" si="38"/>
        <v>0.88</v>
      </c>
      <c r="P433" s="5">
        <f t="shared" si="39"/>
        <v>0.91477272727272729</v>
      </c>
      <c r="Q433" s="5">
        <f t="shared" si="40"/>
        <v>0.97971014492753628</v>
      </c>
      <c r="R433" s="5">
        <f t="shared" si="41"/>
        <v>0.78866666666666674</v>
      </c>
    </row>
    <row r="434" spans="1:18" x14ac:dyDescent="0.25">
      <c r="A434" s="3">
        <v>430</v>
      </c>
      <c r="B434" s="4">
        <v>46294</v>
      </c>
      <c r="C434" s="3" t="s">
        <v>30</v>
      </c>
      <c r="D434" s="3" t="s">
        <v>19</v>
      </c>
      <c r="E434" s="3" t="s">
        <v>32</v>
      </c>
      <c r="F434" s="3">
        <v>174</v>
      </c>
      <c r="G434" s="3">
        <v>167</v>
      </c>
      <c r="H434" s="3">
        <v>7</v>
      </c>
      <c r="I434" s="5">
        <f t="shared" si="37"/>
        <v>4.0229885057471264E-2</v>
      </c>
      <c r="J434" s="6">
        <f t="shared" si="42"/>
        <v>40229.885057471263</v>
      </c>
      <c r="K434" s="7">
        <v>1.78</v>
      </c>
      <c r="L434" s="3">
        <v>389</v>
      </c>
      <c r="M434" s="3">
        <v>450</v>
      </c>
      <c r="N434" s="3">
        <v>61</v>
      </c>
      <c r="O434" s="5">
        <f t="shared" si="38"/>
        <v>0.86444444444444446</v>
      </c>
      <c r="P434" s="5">
        <f t="shared" si="39"/>
        <v>0.79619537275064278</v>
      </c>
      <c r="Q434" s="5">
        <f t="shared" si="40"/>
        <v>0.95977011494252873</v>
      </c>
      <c r="R434" s="5">
        <f t="shared" si="41"/>
        <v>0.66057777777777793</v>
      </c>
    </row>
    <row r="435" spans="1:18" x14ac:dyDescent="0.25">
      <c r="A435" s="3">
        <v>431</v>
      </c>
      <c r="B435" s="4">
        <v>46294</v>
      </c>
      <c r="C435" s="3" t="s">
        <v>30</v>
      </c>
      <c r="D435" s="3" t="s">
        <v>21</v>
      </c>
      <c r="E435" s="3" t="s">
        <v>35</v>
      </c>
      <c r="F435" s="3">
        <v>367</v>
      </c>
      <c r="G435" s="3">
        <v>358</v>
      </c>
      <c r="H435" s="3">
        <v>9</v>
      </c>
      <c r="I435" s="5">
        <f t="shared" si="37"/>
        <v>2.4523160762942781E-2</v>
      </c>
      <c r="J435" s="6">
        <f t="shared" si="42"/>
        <v>24523.160762942782</v>
      </c>
      <c r="K435" s="7">
        <v>1.08</v>
      </c>
      <c r="L435" s="3">
        <v>393</v>
      </c>
      <c r="M435" s="3">
        <v>450</v>
      </c>
      <c r="N435" s="3">
        <v>57</v>
      </c>
      <c r="O435" s="5">
        <f t="shared" si="38"/>
        <v>0.87333333333333329</v>
      </c>
      <c r="P435" s="5">
        <f t="shared" si="39"/>
        <v>1.0085496183206106</v>
      </c>
      <c r="Q435" s="5">
        <f t="shared" si="40"/>
        <v>0.97547683923705719</v>
      </c>
      <c r="R435" s="5">
        <f t="shared" si="41"/>
        <v>0.85919999999999985</v>
      </c>
    </row>
    <row r="436" spans="1:18" x14ac:dyDescent="0.25">
      <c r="A436" s="3">
        <v>432</v>
      </c>
      <c r="B436" s="4">
        <v>46294</v>
      </c>
      <c r="C436" s="3" t="s">
        <v>30</v>
      </c>
      <c r="D436" s="3" t="s">
        <v>23</v>
      </c>
      <c r="E436" s="3" t="s">
        <v>32</v>
      </c>
      <c r="F436" s="3">
        <v>355</v>
      </c>
      <c r="G436" s="3">
        <v>344</v>
      </c>
      <c r="H436" s="3">
        <v>11</v>
      </c>
      <c r="I436" s="5">
        <f t="shared" si="37"/>
        <v>3.0985915492957747E-2</v>
      </c>
      <c r="J436" s="6">
        <f t="shared" si="42"/>
        <v>30985.915492957745</v>
      </c>
      <c r="K436" s="7">
        <v>0.99</v>
      </c>
      <c r="L436" s="3">
        <v>415</v>
      </c>
      <c r="M436" s="3">
        <v>450</v>
      </c>
      <c r="N436" s="3">
        <v>35</v>
      </c>
      <c r="O436" s="5">
        <f t="shared" si="38"/>
        <v>0.92222222222222228</v>
      </c>
      <c r="P436" s="5">
        <f t="shared" si="39"/>
        <v>0.846867469879518</v>
      </c>
      <c r="Q436" s="5">
        <f t="shared" si="40"/>
        <v>0.96901408450704229</v>
      </c>
      <c r="R436" s="5">
        <f t="shared" si="41"/>
        <v>0.75680000000000003</v>
      </c>
    </row>
    <row r="437" spans="1:18" x14ac:dyDescent="0.25">
      <c r="A437" s="3">
        <v>433</v>
      </c>
      <c r="B437" s="4">
        <v>46294</v>
      </c>
      <c r="C437" s="3" t="s">
        <v>33</v>
      </c>
      <c r="D437" s="3" t="s">
        <v>19</v>
      </c>
      <c r="E437" s="3" t="s">
        <v>22</v>
      </c>
      <c r="F437" s="3">
        <v>325</v>
      </c>
      <c r="G437" s="3">
        <v>315</v>
      </c>
      <c r="H437" s="3">
        <v>10</v>
      </c>
      <c r="I437" s="5">
        <f t="shared" si="37"/>
        <v>3.0769230769230771E-2</v>
      </c>
      <c r="J437" s="6">
        <f t="shared" si="42"/>
        <v>30769.23076923077</v>
      </c>
      <c r="K437" s="7">
        <v>1.18</v>
      </c>
      <c r="L437" s="3">
        <v>401</v>
      </c>
      <c r="M437" s="3">
        <v>450</v>
      </c>
      <c r="N437" s="3">
        <v>49</v>
      </c>
      <c r="O437" s="5">
        <f t="shared" si="38"/>
        <v>0.89111111111111108</v>
      </c>
      <c r="P437" s="5">
        <f t="shared" si="39"/>
        <v>0.95635910224438903</v>
      </c>
      <c r="Q437" s="5">
        <f t="shared" si="40"/>
        <v>0.96923076923076923</v>
      </c>
      <c r="R437" s="5">
        <f t="shared" si="41"/>
        <v>0.82599999999999996</v>
      </c>
    </row>
    <row r="438" spans="1:18" x14ac:dyDescent="0.25">
      <c r="A438" s="3">
        <v>434</v>
      </c>
      <c r="B438" s="4">
        <v>46294</v>
      </c>
      <c r="C438" s="3" t="s">
        <v>33</v>
      </c>
      <c r="D438" s="3" t="s">
        <v>21</v>
      </c>
      <c r="E438" s="3" t="s">
        <v>24</v>
      </c>
      <c r="F438" s="3">
        <v>362</v>
      </c>
      <c r="G438" s="3">
        <v>354</v>
      </c>
      <c r="H438" s="3">
        <v>8</v>
      </c>
      <c r="I438" s="5">
        <f t="shared" si="37"/>
        <v>2.2099447513812154E-2</v>
      </c>
      <c r="J438" s="6">
        <f t="shared" si="42"/>
        <v>22099.447513812152</v>
      </c>
      <c r="K438" s="7">
        <v>0.93</v>
      </c>
      <c r="L438" s="3">
        <v>432</v>
      </c>
      <c r="M438" s="3">
        <v>450</v>
      </c>
      <c r="N438" s="3">
        <v>18</v>
      </c>
      <c r="O438" s="5">
        <f t="shared" si="38"/>
        <v>0.96</v>
      </c>
      <c r="P438" s="5">
        <f t="shared" si="39"/>
        <v>0.77930555555555558</v>
      </c>
      <c r="Q438" s="5">
        <f t="shared" si="40"/>
        <v>0.97790055248618779</v>
      </c>
      <c r="R438" s="5">
        <f t="shared" si="41"/>
        <v>0.73159999999999992</v>
      </c>
    </row>
    <row r="439" spans="1:18" x14ac:dyDescent="0.25">
      <c r="A439" s="3">
        <v>435</v>
      </c>
      <c r="B439" s="4">
        <v>46294</v>
      </c>
      <c r="C439" s="3" t="s">
        <v>33</v>
      </c>
      <c r="D439" s="3" t="s">
        <v>23</v>
      </c>
      <c r="E439" s="3" t="s">
        <v>31</v>
      </c>
      <c r="F439" s="3">
        <v>978</v>
      </c>
      <c r="G439" s="3">
        <v>972</v>
      </c>
      <c r="H439" s="3">
        <v>6</v>
      </c>
      <c r="I439" s="5">
        <f t="shared" si="37"/>
        <v>6.1349693251533744E-3</v>
      </c>
      <c r="J439" s="6">
        <f t="shared" si="42"/>
        <v>6134.9693251533745</v>
      </c>
      <c r="K439" s="7">
        <v>0.36</v>
      </c>
      <c r="L439" s="3">
        <v>397</v>
      </c>
      <c r="M439" s="3">
        <v>450</v>
      </c>
      <c r="N439" s="3">
        <v>53</v>
      </c>
      <c r="O439" s="5">
        <f t="shared" si="38"/>
        <v>0.88222222222222224</v>
      </c>
      <c r="P439" s="5">
        <f t="shared" si="39"/>
        <v>0.88685138539042818</v>
      </c>
      <c r="Q439" s="5">
        <f t="shared" si="40"/>
        <v>0.99386503067484666</v>
      </c>
      <c r="R439" s="5">
        <f t="shared" si="41"/>
        <v>0.77759999999999996</v>
      </c>
    </row>
    <row r="440" spans="1:18" x14ac:dyDescent="0.25">
      <c r="A440" s="3">
        <v>436</v>
      </c>
      <c r="B440" s="4">
        <v>46295</v>
      </c>
      <c r="C440" s="3" t="s">
        <v>18</v>
      </c>
      <c r="D440" s="3" t="s">
        <v>19</v>
      </c>
      <c r="E440" s="3" t="s">
        <v>24</v>
      </c>
      <c r="F440" s="3">
        <v>554</v>
      </c>
      <c r="G440" s="3">
        <v>545</v>
      </c>
      <c r="H440" s="3">
        <v>9</v>
      </c>
      <c r="I440" s="5">
        <f t="shared" si="37"/>
        <v>1.6245487364620937E-2</v>
      </c>
      <c r="J440" s="6">
        <f t="shared" si="42"/>
        <v>16245.487364620936</v>
      </c>
      <c r="K440" s="7">
        <v>0.75</v>
      </c>
      <c r="L440" s="3">
        <v>441</v>
      </c>
      <c r="M440" s="3">
        <v>450</v>
      </c>
      <c r="N440" s="3">
        <v>9</v>
      </c>
      <c r="O440" s="5">
        <f t="shared" si="38"/>
        <v>0.98</v>
      </c>
      <c r="P440" s="5">
        <f t="shared" si="39"/>
        <v>0.94217687074829937</v>
      </c>
      <c r="Q440" s="5">
        <f t="shared" si="40"/>
        <v>0.98375451263537905</v>
      </c>
      <c r="R440" s="5">
        <f t="shared" si="41"/>
        <v>0.90833333333333333</v>
      </c>
    </row>
    <row r="441" spans="1:18" x14ac:dyDescent="0.25">
      <c r="A441" s="3">
        <v>437</v>
      </c>
      <c r="B441" s="4">
        <v>46295</v>
      </c>
      <c r="C441" s="3" t="s">
        <v>18</v>
      </c>
      <c r="D441" s="3" t="s">
        <v>21</v>
      </c>
      <c r="E441" s="3" t="s">
        <v>35</v>
      </c>
      <c r="F441" s="3">
        <v>200</v>
      </c>
      <c r="G441" s="3">
        <v>191</v>
      </c>
      <c r="H441" s="3">
        <v>9</v>
      </c>
      <c r="I441" s="5">
        <f t="shared" si="37"/>
        <v>4.4999999999999998E-2</v>
      </c>
      <c r="J441" s="6">
        <f t="shared" si="42"/>
        <v>45000</v>
      </c>
      <c r="K441" s="7">
        <v>1.8</v>
      </c>
      <c r="L441" s="3">
        <v>389</v>
      </c>
      <c r="M441" s="3">
        <v>450</v>
      </c>
      <c r="N441" s="3">
        <v>61</v>
      </c>
      <c r="O441" s="5">
        <f t="shared" si="38"/>
        <v>0.86444444444444446</v>
      </c>
      <c r="P441" s="5">
        <f t="shared" si="39"/>
        <v>0.92544987146529567</v>
      </c>
      <c r="Q441" s="5">
        <f t="shared" si="40"/>
        <v>0.95499999999999996</v>
      </c>
      <c r="R441" s="5">
        <f t="shared" si="41"/>
        <v>0.76400000000000001</v>
      </c>
    </row>
    <row r="442" spans="1:18" x14ac:dyDescent="0.25">
      <c r="A442" s="3">
        <v>438</v>
      </c>
      <c r="B442" s="4">
        <v>46295</v>
      </c>
      <c r="C442" s="3" t="s">
        <v>18</v>
      </c>
      <c r="D442" s="3" t="s">
        <v>23</v>
      </c>
      <c r="E442" s="3" t="s">
        <v>20</v>
      </c>
      <c r="F442" s="3">
        <v>208</v>
      </c>
      <c r="G442" s="3">
        <v>201</v>
      </c>
      <c r="H442" s="3">
        <v>7</v>
      </c>
      <c r="I442" s="5">
        <f t="shared" si="37"/>
        <v>3.3653846153846152E-2</v>
      </c>
      <c r="J442" s="6">
        <f t="shared" si="42"/>
        <v>33653.846153846149</v>
      </c>
      <c r="K442" s="7">
        <v>1.61</v>
      </c>
      <c r="L442" s="3">
        <v>390</v>
      </c>
      <c r="M442" s="3">
        <v>450</v>
      </c>
      <c r="N442" s="3">
        <v>60</v>
      </c>
      <c r="O442" s="5">
        <f t="shared" si="38"/>
        <v>0.8666666666666667</v>
      </c>
      <c r="P442" s="5">
        <f t="shared" si="39"/>
        <v>0.85866666666666669</v>
      </c>
      <c r="Q442" s="5">
        <f t="shared" si="40"/>
        <v>0.96634615384615385</v>
      </c>
      <c r="R442" s="5">
        <f t="shared" si="41"/>
        <v>0.7191333333333334</v>
      </c>
    </row>
    <row r="443" spans="1:18" x14ac:dyDescent="0.25">
      <c r="A443" s="3">
        <v>439</v>
      </c>
      <c r="B443" s="4">
        <v>46295</v>
      </c>
      <c r="C443" s="3" t="s">
        <v>25</v>
      </c>
      <c r="D443" s="3" t="s">
        <v>19</v>
      </c>
      <c r="E443" s="3" t="s">
        <v>31</v>
      </c>
      <c r="F443" s="3">
        <v>717</v>
      </c>
      <c r="G443" s="3">
        <v>714</v>
      </c>
      <c r="H443" s="3">
        <v>3</v>
      </c>
      <c r="I443" s="5">
        <f t="shared" si="37"/>
        <v>4.1841004184100415E-3</v>
      </c>
      <c r="J443" s="6">
        <f t="shared" si="42"/>
        <v>4184.1004184100411</v>
      </c>
      <c r="K443" s="7">
        <v>0.55000000000000004</v>
      </c>
      <c r="L443" s="3">
        <v>437</v>
      </c>
      <c r="M443" s="3">
        <v>450</v>
      </c>
      <c r="N443" s="3">
        <v>13</v>
      </c>
      <c r="O443" s="5">
        <f t="shared" si="38"/>
        <v>0.97111111111111115</v>
      </c>
      <c r="P443" s="5">
        <f t="shared" si="39"/>
        <v>0.90240274599542336</v>
      </c>
      <c r="Q443" s="5">
        <f t="shared" si="40"/>
        <v>0.99581589958159</v>
      </c>
      <c r="R443" s="5">
        <f t="shared" si="41"/>
        <v>0.87266666666666681</v>
      </c>
    </row>
    <row r="444" spans="1:18" x14ac:dyDescent="0.25">
      <c r="A444" s="3">
        <v>440</v>
      </c>
      <c r="B444" s="4">
        <v>46295</v>
      </c>
      <c r="C444" s="3" t="s">
        <v>25</v>
      </c>
      <c r="D444" s="3" t="s">
        <v>21</v>
      </c>
      <c r="E444" s="3" t="s">
        <v>29</v>
      </c>
      <c r="F444" s="3">
        <v>548</v>
      </c>
      <c r="G444" s="3">
        <v>539</v>
      </c>
      <c r="H444" s="3">
        <v>9</v>
      </c>
      <c r="I444" s="5">
        <f t="shared" si="37"/>
        <v>1.6423357664233577E-2</v>
      </c>
      <c r="J444" s="6">
        <f t="shared" si="42"/>
        <v>16423.357664233576</v>
      </c>
      <c r="K444" s="7">
        <v>0.75</v>
      </c>
      <c r="L444" s="3">
        <v>404</v>
      </c>
      <c r="M444" s="3">
        <v>450</v>
      </c>
      <c r="N444" s="3">
        <v>46</v>
      </c>
      <c r="O444" s="5">
        <f t="shared" si="38"/>
        <v>0.89777777777777779</v>
      </c>
      <c r="P444" s="5">
        <f t="shared" si="39"/>
        <v>1.0173267326732673</v>
      </c>
      <c r="Q444" s="5">
        <f t="shared" si="40"/>
        <v>0.98357664233576647</v>
      </c>
      <c r="R444" s="5">
        <f t="shared" si="41"/>
        <v>0.89833333333333343</v>
      </c>
    </row>
    <row r="445" spans="1:18" x14ac:dyDescent="0.25">
      <c r="A445" s="3">
        <v>441</v>
      </c>
      <c r="B445" s="4">
        <v>46295</v>
      </c>
      <c r="C445" s="3" t="s">
        <v>25</v>
      </c>
      <c r="D445" s="3" t="s">
        <v>23</v>
      </c>
      <c r="E445" s="3" t="s">
        <v>26</v>
      </c>
      <c r="F445" s="3">
        <v>567</v>
      </c>
      <c r="G445" s="3">
        <v>545</v>
      </c>
      <c r="H445" s="3">
        <v>22</v>
      </c>
      <c r="I445" s="5">
        <f t="shared" si="37"/>
        <v>3.8800705467372132E-2</v>
      </c>
      <c r="J445" s="6">
        <f t="shared" si="42"/>
        <v>38800.705467372129</v>
      </c>
      <c r="K445" s="7">
        <v>0.61</v>
      </c>
      <c r="L445" s="3">
        <v>385</v>
      </c>
      <c r="M445" s="3">
        <v>450</v>
      </c>
      <c r="N445" s="3">
        <v>65</v>
      </c>
      <c r="O445" s="5">
        <f t="shared" si="38"/>
        <v>0.85555555555555551</v>
      </c>
      <c r="P445" s="5">
        <f t="shared" si="39"/>
        <v>0.89836363636363636</v>
      </c>
      <c r="Q445" s="5">
        <f t="shared" si="40"/>
        <v>0.96119929453262787</v>
      </c>
      <c r="R445" s="5">
        <f t="shared" si="41"/>
        <v>0.73877777777777776</v>
      </c>
    </row>
    <row r="446" spans="1:18" x14ac:dyDescent="0.25">
      <c r="A446" s="3">
        <v>442</v>
      </c>
      <c r="B446" s="4">
        <v>46295</v>
      </c>
      <c r="C446" s="3" t="s">
        <v>28</v>
      </c>
      <c r="D446" s="3" t="s">
        <v>19</v>
      </c>
      <c r="E446" s="3" t="s">
        <v>27</v>
      </c>
      <c r="F446" s="3">
        <v>266</v>
      </c>
      <c r="G446" s="3">
        <v>263</v>
      </c>
      <c r="H446" s="3">
        <v>3</v>
      </c>
      <c r="I446" s="5">
        <f t="shared" si="37"/>
        <v>1.1278195488721804E-2</v>
      </c>
      <c r="J446" s="6">
        <f t="shared" si="42"/>
        <v>11278.195488721803</v>
      </c>
      <c r="K446" s="7">
        <v>1.45</v>
      </c>
      <c r="L446" s="3">
        <v>434</v>
      </c>
      <c r="M446" s="3">
        <v>450</v>
      </c>
      <c r="N446" s="3">
        <v>16</v>
      </c>
      <c r="O446" s="5">
        <f t="shared" si="38"/>
        <v>0.96444444444444444</v>
      </c>
      <c r="P446" s="5">
        <f t="shared" si="39"/>
        <v>0.8887096774193548</v>
      </c>
      <c r="Q446" s="5">
        <f t="shared" si="40"/>
        <v>0.98872180451127822</v>
      </c>
      <c r="R446" s="5">
        <f t="shared" si="41"/>
        <v>0.84744444444444444</v>
      </c>
    </row>
    <row r="447" spans="1:18" x14ac:dyDescent="0.25">
      <c r="A447" s="3">
        <v>443</v>
      </c>
      <c r="B447" s="4">
        <v>46295</v>
      </c>
      <c r="C447" s="3" t="s">
        <v>28</v>
      </c>
      <c r="D447" s="3" t="s">
        <v>21</v>
      </c>
      <c r="E447" s="3" t="s">
        <v>34</v>
      </c>
      <c r="F447" s="3">
        <v>997</v>
      </c>
      <c r="G447" s="3">
        <v>963</v>
      </c>
      <c r="H447" s="3">
        <v>34</v>
      </c>
      <c r="I447" s="5">
        <f t="shared" si="37"/>
        <v>3.4102306920762285E-2</v>
      </c>
      <c r="J447" s="6">
        <f t="shared" si="42"/>
        <v>34102.306920762283</v>
      </c>
      <c r="K447" s="7">
        <v>0.42</v>
      </c>
      <c r="L447" s="3">
        <v>426</v>
      </c>
      <c r="M447" s="3">
        <v>450</v>
      </c>
      <c r="N447" s="3">
        <v>24</v>
      </c>
      <c r="O447" s="5">
        <f t="shared" si="38"/>
        <v>0.94666666666666666</v>
      </c>
      <c r="P447" s="5">
        <f t="shared" si="39"/>
        <v>0.98295774647887324</v>
      </c>
      <c r="Q447" s="5">
        <f t="shared" si="40"/>
        <v>0.96589769307923767</v>
      </c>
      <c r="R447" s="5">
        <f t="shared" si="41"/>
        <v>0.89879999999999993</v>
      </c>
    </row>
    <row r="448" spans="1:18" x14ac:dyDescent="0.25">
      <c r="A448" s="3">
        <v>444</v>
      </c>
      <c r="B448" s="4">
        <v>46295</v>
      </c>
      <c r="C448" s="3" t="s">
        <v>28</v>
      </c>
      <c r="D448" s="3" t="s">
        <v>23</v>
      </c>
      <c r="E448" s="3" t="s">
        <v>26</v>
      </c>
      <c r="F448" s="3">
        <v>411</v>
      </c>
      <c r="G448" s="3">
        <v>402</v>
      </c>
      <c r="H448" s="3">
        <v>9</v>
      </c>
      <c r="I448" s="5">
        <f t="shared" si="37"/>
        <v>2.1897810218978103E-2</v>
      </c>
      <c r="J448" s="6">
        <f t="shared" si="42"/>
        <v>21897.810218978102</v>
      </c>
      <c r="K448" s="7">
        <v>0.94</v>
      </c>
      <c r="L448" s="3">
        <v>417</v>
      </c>
      <c r="M448" s="3">
        <v>450</v>
      </c>
      <c r="N448" s="3">
        <v>33</v>
      </c>
      <c r="O448" s="5">
        <f t="shared" si="38"/>
        <v>0.92666666666666664</v>
      </c>
      <c r="P448" s="5">
        <f t="shared" si="39"/>
        <v>0.92647482014388483</v>
      </c>
      <c r="Q448" s="5">
        <f t="shared" si="40"/>
        <v>0.97810218978102192</v>
      </c>
      <c r="R448" s="5">
        <f t="shared" si="41"/>
        <v>0.83973333333333333</v>
      </c>
    </row>
    <row r="449" spans="1:18" x14ac:dyDescent="0.25">
      <c r="A449" s="3">
        <v>445</v>
      </c>
      <c r="B449" s="4">
        <v>46295</v>
      </c>
      <c r="C449" s="3" t="s">
        <v>30</v>
      </c>
      <c r="D449" s="3" t="s">
        <v>19</v>
      </c>
      <c r="E449" s="3" t="s">
        <v>20</v>
      </c>
      <c r="F449" s="3">
        <v>347</v>
      </c>
      <c r="G449" s="3">
        <v>339</v>
      </c>
      <c r="H449" s="3">
        <v>8</v>
      </c>
      <c r="I449" s="5">
        <f t="shared" si="37"/>
        <v>2.3054755043227664E-2</v>
      </c>
      <c r="J449" s="6">
        <f t="shared" si="42"/>
        <v>23054.755043227666</v>
      </c>
      <c r="K449" s="7">
        <v>1.19</v>
      </c>
      <c r="L449" s="3">
        <v>435</v>
      </c>
      <c r="M449" s="3">
        <v>450</v>
      </c>
      <c r="N449" s="3">
        <v>15</v>
      </c>
      <c r="O449" s="5">
        <f t="shared" si="38"/>
        <v>0.96666666666666667</v>
      </c>
      <c r="P449" s="5">
        <f t="shared" si="39"/>
        <v>0.94926436781609203</v>
      </c>
      <c r="Q449" s="5">
        <f t="shared" si="40"/>
        <v>0.97694524495677237</v>
      </c>
      <c r="R449" s="5">
        <f t="shared" si="41"/>
        <v>0.89646666666666686</v>
      </c>
    </row>
    <row r="450" spans="1:18" x14ac:dyDescent="0.25">
      <c r="A450" s="3">
        <v>446</v>
      </c>
      <c r="B450" s="4">
        <v>46295</v>
      </c>
      <c r="C450" s="3" t="s">
        <v>30</v>
      </c>
      <c r="D450" s="3" t="s">
        <v>21</v>
      </c>
      <c r="E450" s="3" t="s">
        <v>35</v>
      </c>
      <c r="F450" s="3">
        <v>214</v>
      </c>
      <c r="G450" s="3">
        <v>213</v>
      </c>
      <c r="H450" s="3">
        <v>1</v>
      </c>
      <c r="I450" s="5">
        <f t="shared" si="37"/>
        <v>4.6728971962616819E-3</v>
      </c>
      <c r="J450" s="6">
        <f t="shared" si="42"/>
        <v>4672.8971962616815</v>
      </c>
      <c r="K450" s="7">
        <v>1.71</v>
      </c>
      <c r="L450" s="3">
        <v>414</v>
      </c>
      <c r="M450" s="3">
        <v>450</v>
      </c>
      <c r="N450" s="3">
        <v>36</v>
      </c>
      <c r="O450" s="5">
        <f t="shared" si="38"/>
        <v>0.92</v>
      </c>
      <c r="P450" s="5">
        <f t="shared" si="39"/>
        <v>0.88391304347826083</v>
      </c>
      <c r="Q450" s="5">
        <f t="shared" si="40"/>
        <v>0.99532710280373837</v>
      </c>
      <c r="R450" s="5">
        <f t="shared" si="41"/>
        <v>0.80940000000000012</v>
      </c>
    </row>
    <row r="451" spans="1:18" x14ac:dyDescent="0.25">
      <c r="A451" s="3">
        <v>447</v>
      </c>
      <c r="B451" s="4">
        <v>46295</v>
      </c>
      <c r="C451" s="3" t="s">
        <v>30</v>
      </c>
      <c r="D451" s="3" t="s">
        <v>23</v>
      </c>
      <c r="E451" s="3" t="s">
        <v>29</v>
      </c>
      <c r="F451" s="3">
        <v>531</v>
      </c>
      <c r="G451" s="3">
        <v>517</v>
      </c>
      <c r="H451" s="3">
        <v>14</v>
      </c>
      <c r="I451" s="5">
        <f t="shared" si="37"/>
        <v>2.6365348399246705E-2</v>
      </c>
      <c r="J451" s="6">
        <f t="shared" si="42"/>
        <v>26365.348399246705</v>
      </c>
      <c r="K451" s="7">
        <v>0.69</v>
      </c>
      <c r="L451" s="3">
        <v>401</v>
      </c>
      <c r="M451" s="3">
        <v>450</v>
      </c>
      <c r="N451" s="3">
        <v>49</v>
      </c>
      <c r="O451" s="5">
        <f t="shared" si="38"/>
        <v>0.89111111111111108</v>
      </c>
      <c r="P451" s="5">
        <f t="shared" si="39"/>
        <v>0.9136907730673316</v>
      </c>
      <c r="Q451" s="5">
        <f t="shared" si="40"/>
        <v>0.97363465160075324</v>
      </c>
      <c r="R451" s="5">
        <f t="shared" si="41"/>
        <v>0.79273333333333318</v>
      </c>
    </row>
    <row r="452" spans="1:18" x14ac:dyDescent="0.25">
      <c r="A452" s="3">
        <v>448</v>
      </c>
      <c r="B452" s="4">
        <v>46295</v>
      </c>
      <c r="C452" s="3" t="s">
        <v>33</v>
      </c>
      <c r="D452" s="3" t="s">
        <v>19</v>
      </c>
      <c r="E452" s="3" t="s">
        <v>35</v>
      </c>
      <c r="F452" s="3">
        <v>253</v>
      </c>
      <c r="G452" s="3">
        <v>245</v>
      </c>
      <c r="H452" s="3">
        <v>8</v>
      </c>
      <c r="I452" s="5">
        <f t="shared" si="37"/>
        <v>3.1620553359683792E-2</v>
      </c>
      <c r="J452" s="6">
        <f t="shared" si="42"/>
        <v>31620.553359683792</v>
      </c>
      <c r="K452" s="7">
        <v>1.39</v>
      </c>
      <c r="L452" s="3">
        <v>415</v>
      </c>
      <c r="M452" s="3">
        <v>450</v>
      </c>
      <c r="N452" s="3">
        <v>35</v>
      </c>
      <c r="O452" s="5">
        <f t="shared" si="38"/>
        <v>0.92222222222222228</v>
      </c>
      <c r="P452" s="5">
        <f t="shared" si="39"/>
        <v>0.84739759036144569</v>
      </c>
      <c r="Q452" s="5">
        <f t="shared" si="40"/>
        <v>0.96837944664031617</v>
      </c>
      <c r="R452" s="5">
        <f t="shared" si="41"/>
        <v>0.75677777777777777</v>
      </c>
    </row>
    <row r="453" spans="1:18" x14ac:dyDescent="0.25">
      <c r="A453" s="3">
        <v>449</v>
      </c>
      <c r="B453" s="4">
        <v>46295</v>
      </c>
      <c r="C453" s="3" t="s">
        <v>33</v>
      </c>
      <c r="D453" s="3" t="s">
        <v>21</v>
      </c>
      <c r="E453" s="3" t="s">
        <v>20</v>
      </c>
      <c r="F453" s="3">
        <v>248</v>
      </c>
      <c r="G453" s="3">
        <v>245</v>
      </c>
      <c r="H453" s="3">
        <v>3</v>
      </c>
      <c r="I453" s="5">
        <f t="shared" ref="I453:I454" si="43">IFERROR(H453/F453,0)</f>
        <v>1.2096774193548387E-2</v>
      </c>
      <c r="J453" s="6">
        <f t="shared" si="42"/>
        <v>12096.774193548386</v>
      </c>
      <c r="K453" s="7">
        <v>1.37</v>
      </c>
      <c r="L453" s="3">
        <v>386</v>
      </c>
      <c r="M453" s="3">
        <v>450</v>
      </c>
      <c r="N453" s="3">
        <v>64</v>
      </c>
      <c r="O453" s="5">
        <f t="shared" si="38"/>
        <v>0.85777777777777775</v>
      </c>
      <c r="P453" s="5">
        <f t="shared" si="39"/>
        <v>0.88020725388601051</v>
      </c>
      <c r="Q453" s="5">
        <f t="shared" si="40"/>
        <v>0.98790322580645162</v>
      </c>
      <c r="R453" s="5">
        <f t="shared" ref="R453:R454" si="44">O453*P453*Q453</f>
        <v>0.74588888888888905</v>
      </c>
    </row>
    <row r="454" spans="1:18" x14ac:dyDescent="0.25">
      <c r="A454" s="3">
        <v>450</v>
      </c>
      <c r="B454" s="4">
        <v>46295</v>
      </c>
      <c r="C454" s="3" t="s">
        <v>33</v>
      </c>
      <c r="D454" s="3" t="s">
        <v>23</v>
      </c>
      <c r="E454" s="3" t="s">
        <v>24</v>
      </c>
      <c r="F454" s="3">
        <v>431</v>
      </c>
      <c r="G454" s="3">
        <v>413</v>
      </c>
      <c r="H454" s="3">
        <v>18</v>
      </c>
      <c r="I454" s="5">
        <f t="shared" si="43"/>
        <v>4.1763341067285381E-2</v>
      </c>
      <c r="J454" s="6">
        <f t="shared" ref="J454" si="45">H454/F454*1000000</f>
        <v>41763.341067285379</v>
      </c>
      <c r="K454" s="7">
        <v>0.95</v>
      </c>
      <c r="L454" s="3">
        <v>420</v>
      </c>
      <c r="M454" s="3">
        <v>450</v>
      </c>
      <c r="N454" s="3">
        <v>30</v>
      </c>
      <c r="O454" s="5">
        <f t="shared" si="38"/>
        <v>0.93333333333333335</v>
      </c>
      <c r="P454" s="5">
        <f t="shared" si="39"/>
        <v>0.9748809523809524</v>
      </c>
      <c r="Q454" s="5">
        <f t="shared" si="40"/>
        <v>0.95823665893271459</v>
      </c>
      <c r="R454" s="5">
        <f t="shared" si="44"/>
        <v>0.87188888888888894</v>
      </c>
    </row>
  </sheetData>
  <autoFilter ref="A4:R454" xr:uid="{00000000-0009-0000-0000-000002000000}"/>
  <mergeCells count="1">
    <mergeCell ref="A1:R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>
  <scriptId id="ms-officescript%3A%2F%2Fonedrive_business_itemlink%2F01HC6ENWGR6HHWO3BKCNC2DTRX4I3GXJ4I:ms-officescript%3A%2F%2Fonedrive_business_sharinglink%2Fu!aHR0cHM6Ly9zcGVjdHJ1bWVsZWN0cmljYWxzLW15LnNoYXJlcG9pbnQuY29tLzp1Oi9nL3BlcnNvbmFsL3N1bWl0X2JoYWdhdF9zcGVjdHJ1bS1pbmRpYV9jb20vSVFEUjhjOW5iQ29UUmFIT04tSTJhNmVJQVVuN2djNmV0c2lYMHBGdmEwb094eUU"/>
</scriptIds>
</file>

<file path=customXml/itemProps1.xml><?xml version="1.0" encoding="utf-8"?>
<ds:datastoreItem xmlns:ds="http://schemas.openxmlformats.org/officeDocument/2006/customXml" ds:itemID="{C1C72A2C-FA7E-432B-A923-DA5A978EB985}">
  <ds:schemaRefs>
    <ds:schemaRef ds:uri="http://schemas.microsoft.com/office/extensibility/maker/v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 </vt:lpstr>
      <vt:lpstr>Down Time</vt:lpstr>
      <vt:lpstr>Rejection Analysis</vt:lpstr>
      <vt:lpstr>July</vt:lpstr>
      <vt:lpstr>August</vt:lpstr>
      <vt:lpstr>September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Sumit</cp:lastModifiedBy>
  <dcterms:created xsi:type="dcterms:W3CDTF">2026-10-27T17:00:37Z</dcterms:created>
  <dcterms:modified xsi:type="dcterms:W3CDTF">2026-10-28T16:25:01Z</dcterms:modified>
</cp:coreProperties>
</file>